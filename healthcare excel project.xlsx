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FE072C98-63DB-4F73-B666-042A951BC79E}" xr6:coauthVersionLast="47" xr6:coauthVersionMax="47" xr10:uidLastSave="{00000000-0000-0000-0000-000000000000}"/>
  <bookViews>
    <workbookView xWindow="-120" yWindow="-120" windowWidth="20730" windowHeight="11160" tabRatio="751" activeTab="3" xr2:uid="{08083A00-BC20-4A75-A00A-8FFF742FD440}"/>
  </bookViews>
  <sheets>
    <sheet name="healthcare_dataset_raw" sheetId="3" r:id="rId1"/>
    <sheet name="healthcare_dataset" sheetId="2" r:id="rId2"/>
    <sheet name="pivot and slicers" sheetId="4" r:id="rId3"/>
    <sheet name="dashboard" sheetId="1" r:id="rId4"/>
    <sheet name="kpis" sheetId="5" r:id="rId5"/>
  </sheets>
  <definedNames>
    <definedName name="ExternalData_1" localSheetId="1" hidden="1">healthcare_dataset!$A$1:$N$1001</definedName>
    <definedName name="ExternalData_1" localSheetId="0" hidden="1">healthcare_dataset_raw!$A$1:$J$1001</definedName>
    <definedName name="Slicer_Doctor">#N/A</definedName>
    <definedName name="Slicer_Gender">#N/A</definedName>
    <definedName name="Slicer_Hospital">#N/A</definedName>
    <definedName name="Slicer_Year">#N/A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 i="5" l="1"/>
  <c r="H3" i="5"/>
  <c r="E3" i="5"/>
  <c r="B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529342-4322-42B5-98BC-7D1B912D78B9}" keepAlive="1" name="Query - healthcare_dataset" description="Connection to the 'healthcare_dataset' query in the workbook." type="5" refreshedVersion="8" background="1" saveData="1">
    <dbPr connection="Provider=Microsoft.Mashup.OleDb.1;Data Source=$Workbook$;Location=healthcare_dataset;Extended Properties=&quot;&quot;" command="SELECT * FROM [healthcare_dataset]"/>
  </connection>
  <connection id="2" xr16:uid="{D8385A3B-5402-47CE-9B04-12E48BFE57FA}" keepAlive="1" name="Query - healthcare_dataset (2)" description="Connection to the 'healthcare_dataset (2)' query in the workbook." type="5" refreshedVersion="8" background="1" saveData="1">
    <dbPr connection="Provider=Microsoft.Mashup.OleDb.1;Data Source=$Workbook$;Location=&quot;healthcare_dataset (2)&quot;;Extended Properties=&quot;&quot;" command="SELECT * FROM [healthcare_dataset (2)]"/>
  </connection>
</connections>
</file>

<file path=xl/sharedStrings.xml><?xml version="1.0" encoding="utf-8"?>
<sst xmlns="http://schemas.openxmlformats.org/spreadsheetml/2006/main" count="12089" uniqueCount="60">
  <si>
    <t>Patient_ID</t>
  </si>
  <si>
    <t>Gender</t>
  </si>
  <si>
    <t>Age</t>
  </si>
  <si>
    <t>Disease</t>
  </si>
  <si>
    <t>Doctor</t>
  </si>
  <si>
    <t>Hospital</t>
  </si>
  <si>
    <t>Admission_Date</t>
  </si>
  <si>
    <t>Stay_Days</t>
  </si>
  <si>
    <t>Treatment_Cost</t>
  </si>
  <si>
    <t>Outcome</t>
  </si>
  <si>
    <t>Year</t>
  </si>
  <si>
    <t>Month_Name</t>
  </si>
  <si>
    <t>Age_Group</t>
  </si>
  <si>
    <t>Male</t>
  </si>
  <si>
    <t>COVID-19</t>
  </si>
  <si>
    <t>Dr. Sharma</t>
  </si>
  <si>
    <t>City Hospital</t>
  </si>
  <si>
    <t>Critical</t>
  </si>
  <si>
    <t>Nov</t>
  </si>
  <si>
    <t>Senior</t>
  </si>
  <si>
    <t>Female</t>
  </si>
  <si>
    <t>Heart Disease</t>
  </si>
  <si>
    <t>Dr. Mehta</t>
  </si>
  <si>
    <t>LifeCare Center</t>
  </si>
  <si>
    <t>Recovered</t>
  </si>
  <si>
    <t>Child</t>
  </si>
  <si>
    <t>Dec</t>
  </si>
  <si>
    <t>Dr. Khan</t>
  </si>
  <si>
    <t>Apollo Care</t>
  </si>
  <si>
    <t>Adult</t>
  </si>
  <si>
    <t>Diabetes</t>
  </si>
  <si>
    <t>Dr. Singh</t>
  </si>
  <si>
    <t>Sunrise Clinic</t>
  </si>
  <si>
    <t>Apr</t>
  </si>
  <si>
    <t>Flu</t>
  </si>
  <si>
    <t>Dr. Patel</t>
  </si>
  <si>
    <t>Jul</t>
  </si>
  <si>
    <t>Asthma</t>
  </si>
  <si>
    <t>Middle Age</t>
  </si>
  <si>
    <t>Under Treatment</t>
  </si>
  <si>
    <t>Jun</t>
  </si>
  <si>
    <t>Oct</t>
  </si>
  <si>
    <t>May</t>
  </si>
  <si>
    <t>Mar</t>
  </si>
  <si>
    <t>Sep</t>
  </si>
  <si>
    <t>Hypertension</t>
  </si>
  <si>
    <t>Feb</t>
  </si>
  <si>
    <t>Aug</t>
  </si>
  <si>
    <t>Jan</t>
  </si>
  <si>
    <t>Row Labels</t>
  </si>
  <si>
    <t>Grand Total</t>
  </si>
  <si>
    <t>Count of Patient_ID</t>
  </si>
  <si>
    <t>Sum of Treatment_Cost</t>
  </si>
  <si>
    <t>Average of Stay_Days</t>
  </si>
  <si>
    <t>Month_Number</t>
  </si>
  <si>
    <t>Column Labels</t>
  </si>
  <si>
    <t xml:space="preserve">Total Patients </t>
  </si>
  <si>
    <t>TOTAL REVENUE</t>
  </si>
  <si>
    <t>Recovery Rate</t>
  </si>
  <si>
    <t xml:space="preserve">Avg Stay Days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</si>
</sst>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1" fontId="0" fillId="0" borderId="0" xfId="0" applyNumberFormat="1" applyAlignment="1">
      <alignment horizontal="center"/>
    </xf>
    <xf numFmtId="3" fontId="0" fillId="0" borderId="0" xfId="0" applyNumberFormat="1" applyAlignment="1">
      <alignment horizontal="center"/>
    </xf>
    <xf numFmtId="0" fontId="0" fillId="0" borderId="0" xfId="0" applyAlignment="1">
      <alignment horizontal="center" vertical="center"/>
    </xf>
    <xf numFmtId="10" fontId="0" fillId="0" borderId="0" xfId="0" applyNumberFormat="1" applyAlignment="1">
      <alignment horizontal="center" vertical="center"/>
    </xf>
  </cellXfs>
  <cellStyles count="1">
    <cellStyle name="Normal" xfId="0" builtinId="0"/>
  </cellStyles>
  <dxfs count="3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000DF"/>
      <color rgb="FFA86A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project.xlsx]pivot and slicers!PivotTable2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Patient Distribution by Disease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and slicers'!$B$3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and slicers'!$A$4:$A$10</c:f>
              <c:strCache>
                <c:ptCount val="6"/>
                <c:pt idx="0">
                  <c:v>Flu</c:v>
                </c:pt>
                <c:pt idx="1">
                  <c:v>Asthma</c:v>
                </c:pt>
                <c:pt idx="2">
                  <c:v>Hypertension</c:v>
                </c:pt>
                <c:pt idx="3">
                  <c:v>COVID-19</c:v>
                </c:pt>
                <c:pt idx="4">
                  <c:v>Diabetes</c:v>
                </c:pt>
                <c:pt idx="5">
                  <c:v>Heart Disease</c:v>
                </c:pt>
              </c:strCache>
            </c:strRef>
          </c:cat>
          <c:val>
            <c:numRef>
              <c:f>'pivot and slicers'!$B$4:$B$10</c:f>
              <c:numCache>
                <c:formatCode>General</c:formatCode>
                <c:ptCount val="6"/>
                <c:pt idx="0">
                  <c:v>183</c:v>
                </c:pt>
                <c:pt idx="1">
                  <c:v>175</c:v>
                </c:pt>
                <c:pt idx="2">
                  <c:v>172</c:v>
                </c:pt>
                <c:pt idx="3">
                  <c:v>170</c:v>
                </c:pt>
                <c:pt idx="4">
                  <c:v>162</c:v>
                </c:pt>
                <c:pt idx="5">
                  <c:v>138</c:v>
                </c:pt>
              </c:numCache>
            </c:numRef>
          </c:val>
          <c:extLst>
            <c:ext xmlns:c16="http://schemas.microsoft.com/office/drawing/2014/chart" uri="{C3380CC4-5D6E-409C-BE32-E72D297353CC}">
              <c16:uniqueId val="{00000000-C3EB-4F22-B658-23884C4EC397}"/>
            </c:ext>
          </c:extLst>
        </c:ser>
        <c:dLbls>
          <c:dLblPos val="outEnd"/>
          <c:showLegendKey val="0"/>
          <c:showVal val="1"/>
          <c:showCatName val="0"/>
          <c:showSerName val="0"/>
          <c:showPercent val="0"/>
          <c:showBubbleSize val="0"/>
        </c:dLbls>
        <c:gapWidth val="182"/>
        <c:axId val="2064491952"/>
        <c:axId val="2064492432"/>
      </c:barChart>
      <c:catAx>
        <c:axId val="20644919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492432"/>
        <c:crosses val="autoZero"/>
        <c:auto val="1"/>
        <c:lblAlgn val="ctr"/>
        <c:lblOffset val="100"/>
        <c:noMultiLvlLbl val="0"/>
      </c:catAx>
      <c:valAx>
        <c:axId val="20644924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491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project.xlsx]pivot and slicers!PivotTable3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Hospital Performance Overview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and slicers'!$B$36</c:f>
              <c:strCache>
                <c:ptCount val="1"/>
                <c:pt idx="0">
                  <c:v>Count of Patient_ID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and slicers'!$A$37:$A$41</c:f>
              <c:strCache>
                <c:ptCount val="4"/>
                <c:pt idx="0">
                  <c:v>City Hospital</c:v>
                </c:pt>
                <c:pt idx="1">
                  <c:v>LifeCare Center</c:v>
                </c:pt>
                <c:pt idx="2">
                  <c:v>Sunrise Clinic</c:v>
                </c:pt>
                <c:pt idx="3">
                  <c:v>Apollo Care</c:v>
                </c:pt>
              </c:strCache>
            </c:strRef>
          </c:cat>
          <c:val>
            <c:numRef>
              <c:f>'pivot and slicers'!$B$37:$B$41</c:f>
              <c:numCache>
                <c:formatCode>General</c:formatCode>
                <c:ptCount val="4"/>
                <c:pt idx="0">
                  <c:v>260</c:v>
                </c:pt>
                <c:pt idx="1">
                  <c:v>248</c:v>
                </c:pt>
                <c:pt idx="2">
                  <c:v>246</c:v>
                </c:pt>
                <c:pt idx="3">
                  <c:v>246</c:v>
                </c:pt>
              </c:numCache>
            </c:numRef>
          </c:val>
          <c:extLst>
            <c:ext xmlns:c16="http://schemas.microsoft.com/office/drawing/2014/chart" uri="{C3380CC4-5D6E-409C-BE32-E72D297353CC}">
              <c16:uniqueId val="{00000000-EB30-450C-9AE3-D1E5763ECAB8}"/>
            </c:ext>
          </c:extLst>
        </c:ser>
        <c:dLbls>
          <c:showLegendKey val="0"/>
          <c:showVal val="1"/>
          <c:showCatName val="0"/>
          <c:showSerName val="0"/>
          <c:showPercent val="0"/>
          <c:showBubbleSize val="0"/>
        </c:dLbls>
        <c:gapWidth val="219"/>
        <c:overlap val="-27"/>
        <c:axId val="942227296"/>
        <c:axId val="942223456"/>
      </c:barChart>
      <c:lineChart>
        <c:grouping val="standard"/>
        <c:varyColors val="0"/>
        <c:ser>
          <c:idx val="1"/>
          <c:order val="1"/>
          <c:tx>
            <c:strRef>
              <c:f>'pivot and slicers'!$C$36</c:f>
              <c:strCache>
                <c:ptCount val="1"/>
                <c:pt idx="0">
                  <c:v>Sum of Treatment_Cost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and slicers'!$A$37:$A$41</c:f>
              <c:strCache>
                <c:ptCount val="4"/>
                <c:pt idx="0">
                  <c:v>City Hospital</c:v>
                </c:pt>
                <c:pt idx="1">
                  <c:v>LifeCare Center</c:v>
                </c:pt>
                <c:pt idx="2">
                  <c:v>Sunrise Clinic</c:v>
                </c:pt>
                <c:pt idx="3">
                  <c:v>Apollo Care</c:v>
                </c:pt>
              </c:strCache>
            </c:strRef>
          </c:cat>
          <c:val>
            <c:numRef>
              <c:f>'pivot and slicers'!$C$37:$C$41</c:f>
              <c:numCache>
                <c:formatCode>General</c:formatCode>
                <c:ptCount val="4"/>
                <c:pt idx="0">
                  <c:v>6645770</c:v>
                </c:pt>
                <c:pt idx="1">
                  <c:v>6254871</c:v>
                </c:pt>
                <c:pt idx="2">
                  <c:v>6502082</c:v>
                </c:pt>
                <c:pt idx="3">
                  <c:v>6760691</c:v>
                </c:pt>
              </c:numCache>
            </c:numRef>
          </c:val>
          <c:smooth val="0"/>
          <c:extLst>
            <c:ext xmlns:c16="http://schemas.microsoft.com/office/drawing/2014/chart" uri="{C3380CC4-5D6E-409C-BE32-E72D297353CC}">
              <c16:uniqueId val="{00000001-EB30-450C-9AE3-D1E5763ECAB8}"/>
            </c:ext>
          </c:extLst>
        </c:ser>
        <c:dLbls>
          <c:showLegendKey val="0"/>
          <c:showVal val="1"/>
          <c:showCatName val="0"/>
          <c:showSerName val="0"/>
          <c:showPercent val="0"/>
          <c:showBubbleSize val="0"/>
        </c:dLbls>
        <c:marker val="1"/>
        <c:smooth val="0"/>
        <c:axId val="79089536"/>
        <c:axId val="79092896"/>
      </c:lineChart>
      <c:catAx>
        <c:axId val="7908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92896"/>
        <c:crosses val="autoZero"/>
        <c:auto val="1"/>
        <c:lblAlgn val="ctr"/>
        <c:lblOffset val="100"/>
        <c:noMultiLvlLbl val="0"/>
      </c:catAx>
      <c:valAx>
        <c:axId val="79092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89536"/>
        <c:crosses val="autoZero"/>
        <c:crossBetween val="between"/>
      </c:valAx>
      <c:valAx>
        <c:axId val="9422234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227296"/>
        <c:crosses val="max"/>
        <c:crossBetween val="between"/>
      </c:valAx>
      <c:catAx>
        <c:axId val="942227296"/>
        <c:scaling>
          <c:orientation val="minMax"/>
        </c:scaling>
        <c:delete val="1"/>
        <c:axPos val="b"/>
        <c:numFmt formatCode="General" sourceLinked="1"/>
        <c:majorTickMark val="out"/>
        <c:minorTickMark val="none"/>
        <c:tickLblPos val="nextTo"/>
        <c:crossAx val="9422234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project.xlsx]pivot and slicers!PivotTable4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Doctor Efficiency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and slicers'!$B$50</c:f>
              <c:strCache>
                <c:ptCount val="1"/>
                <c:pt idx="0">
                  <c:v>Count of Patient_ID</c:v>
                </c:pt>
              </c:strCache>
            </c:strRef>
          </c:tx>
          <c:spPr>
            <a:solidFill>
              <a:schemeClr val="accent1"/>
            </a:solidFill>
            <a:ln>
              <a:noFill/>
            </a:ln>
            <a:effectLst/>
          </c:spPr>
          <c:invertIfNegative val="0"/>
          <c:cat>
            <c:strRef>
              <c:f>'pivot and slicers'!$A$51:$A$56</c:f>
              <c:strCache>
                <c:ptCount val="5"/>
                <c:pt idx="0">
                  <c:v>Dr. Singh</c:v>
                </c:pt>
                <c:pt idx="1">
                  <c:v>Dr. Sharma</c:v>
                </c:pt>
                <c:pt idx="2">
                  <c:v>Dr. Mehta</c:v>
                </c:pt>
                <c:pt idx="3">
                  <c:v>Dr. Khan</c:v>
                </c:pt>
                <c:pt idx="4">
                  <c:v>Dr. Patel</c:v>
                </c:pt>
              </c:strCache>
            </c:strRef>
          </c:cat>
          <c:val>
            <c:numRef>
              <c:f>'pivot and slicers'!$B$51:$B$56</c:f>
              <c:numCache>
                <c:formatCode>General</c:formatCode>
                <c:ptCount val="5"/>
                <c:pt idx="0">
                  <c:v>213</c:v>
                </c:pt>
                <c:pt idx="1">
                  <c:v>206</c:v>
                </c:pt>
                <c:pt idx="2">
                  <c:v>206</c:v>
                </c:pt>
                <c:pt idx="3">
                  <c:v>201</c:v>
                </c:pt>
                <c:pt idx="4">
                  <c:v>174</c:v>
                </c:pt>
              </c:numCache>
            </c:numRef>
          </c:val>
          <c:extLst>
            <c:ext xmlns:c16="http://schemas.microsoft.com/office/drawing/2014/chart" uri="{C3380CC4-5D6E-409C-BE32-E72D297353CC}">
              <c16:uniqueId val="{00000000-C848-47D2-AEB9-5C8C66C9D732}"/>
            </c:ext>
          </c:extLst>
        </c:ser>
        <c:dLbls>
          <c:showLegendKey val="0"/>
          <c:showVal val="0"/>
          <c:showCatName val="0"/>
          <c:showSerName val="0"/>
          <c:showPercent val="0"/>
          <c:showBubbleSize val="0"/>
        </c:dLbls>
        <c:gapWidth val="182"/>
        <c:axId val="2028286288"/>
        <c:axId val="2028287728"/>
      </c:barChart>
      <c:barChart>
        <c:barDir val="bar"/>
        <c:grouping val="clustered"/>
        <c:varyColors val="0"/>
        <c:ser>
          <c:idx val="1"/>
          <c:order val="1"/>
          <c:tx>
            <c:strRef>
              <c:f>'pivot and slicers'!$C$50</c:f>
              <c:strCache>
                <c:ptCount val="1"/>
                <c:pt idx="0">
                  <c:v>Average of Stay_Days</c:v>
                </c:pt>
              </c:strCache>
            </c:strRef>
          </c:tx>
          <c:spPr>
            <a:solidFill>
              <a:schemeClr val="accent2"/>
            </a:solidFill>
            <a:ln>
              <a:noFill/>
            </a:ln>
            <a:effectLst/>
          </c:spPr>
          <c:invertIfNegative val="0"/>
          <c:cat>
            <c:strRef>
              <c:f>'pivot and slicers'!$A$51:$A$56</c:f>
              <c:strCache>
                <c:ptCount val="5"/>
                <c:pt idx="0">
                  <c:v>Dr. Singh</c:v>
                </c:pt>
                <c:pt idx="1">
                  <c:v>Dr. Sharma</c:v>
                </c:pt>
                <c:pt idx="2">
                  <c:v>Dr. Mehta</c:v>
                </c:pt>
                <c:pt idx="3">
                  <c:v>Dr. Khan</c:v>
                </c:pt>
                <c:pt idx="4">
                  <c:v>Dr. Patel</c:v>
                </c:pt>
              </c:strCache>
            </c:strRef>
          </c:cat>
          <c:val>
            <c:numRef>
              <c:f>'pivot and slicers'!$C$51:$C$56</c:f>
              <c:numCache>
                <c:formatCode>General</c:formatCode>
                <c:ptCount val="5"/>
                <c:pt idx="0">
                  <c:v>7.112676056338028</c:v>
                </c:pt>
                <c:pt idx="1">
                  <c:v>7.7572815533980579</c:v>
                </c:pt>
                <c:pt idx="2">
                  <c:v>7.6699029126213594</c:v>
                </c:pt>
                <c:pt idx="3">
                  <c:v>8.08955223880597</c:v>
                </c:pt>
                <c:pt idx="4">
                  <c:v>7.6609195402298846</c:v>
                </c:pt>
              </c:numCache>
            </c:numRef>
          </c:val>
          <c:extLst>
            <c:ext xmlns:c16="http://schemas.microsoft.com/office/drawing/2014/chart" uri="{C3380CC4-5D6E-409C-BE32-E72D297353CC}">
              <c16:uniqueId val="{00000001-C848-47D2-AEB9-5C8C66C9D732}"/>
            </c:ext>
          </c:extLst>
        </c:ser>
        <c:dLbls>
          <c:showLegendKey val="0"/>
          <c:showVal val="0"/>
          <c:showCatName val="0"/>
          <c:showSerName val="0"/>
          <c:showPercent val="0"/>
          <c:showBubbleSize val="0"/>
        </c:dLbls>
        <c:gapWidth val="182"/>
        <c:axId val="203718415"/>
        <c:axId val="203717935"/>
      </c:barChart>
      <c:catAx>
        <c:axId val="20282862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287728"/>
        <c:crosses val="autoZero"/>
        <c:auto val="1"/>
        <c:lblAlgn val="ctr"/>
        <c:lblOffset val="100"/>
        <c:noMultiLvlLbl val="0"/>
      </c:catAx>
      <c:valAx>
        <c:axId val="20282877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286288"/>
        <c:crosses val="autoZero"/>
        <c:crossBetween val="between"/>
      </c:valAx>
      <c:valAx>
        <c:axId val="203717935"/>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18415"/>
        <c:crosses val="max"/>
        <c:crossBetween val="between"/>
      </c:valAx>
      <c:catAx>
        <c:axId val="203718415"/>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17935"/>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project.xlsx]pivot and slicers!PivotTable5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Patient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and slicers'!$B$67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and slicers'!$A$68:$A$80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and slicers'!$B$68:$B$80</c:f>
              <c:numCache>
                <c:formatCode>General</c:formatCode>
                <c:ptCount val="12"/>
                <c:pt idx="0">
                  <c:v>92</c:v>
                </c:pt>
                <c:pt idx="1">
                  <c:v>81</c:v>
                </c:pt>
                <c:pt idx="2">
                  <c:v>76</c:v>
                </c:pt>
                <c:pt idx="3">
                  <c:v>80</c:v>
                </c:pt>
                <c:pt idx="4">
                  <c:v>86</c:v>
                </c:pt>
                <c:pt idx="5">
                  <c:v>93</c:v>
                </c:pt>
                <c:pt idx="6">
                  <c:v>86</c:v>
                </c:pt>
                <c:pt idx="7">
                  <c:v>75</c:v>
                </c:pt>
                <c:pt idx="8">
                  <c:v>79</c:v>
                </c:pt>
                <c:pt idx="9">
                  <c:v>84</c:v>
                </c:pt>
                <c:pt idx="10">
                  <c:v>80</c:v>
                </c:pt>
                <c:pt idx="11">
                  <c:v>88</c:v>
                </c:pt>
              </c:numCache>
            </c:numRef>
          </c:val>
          <c:smooth val="0"/>
          <c:extLst>
            <c:ext xmlns:c16="http://schemas.microsoft.com/office/drawing/2014/chart" uri="{C3380CC4-5D6E-409C-BE32-E72D297353CC}">
              <c16:uniqueId val="{00000000-DA71-4FAF-AD9D-D5293640A219}"/>
            </c:ext>
          </c:extLst>
        </c:ser>
        <c:dLbls>
          <c:dLblPos val="t"/>
          <c:showLegendKey val="0"/>
          <c:showVal val="1"/>
          <c:showCatName val="0"/>
          <c:showSerName val="0"/>
          <c:showPercent val="0"/>
          <c:showBubbleSize val="0"/>
        </c:dLbls>
        <c:marker val="1"/>
        <c:smooth val="0"/>
        <c:axId val="942234496"/>
        <c:axId val="942222976"/>
      </c:lineChart>
      <c:catAx>
        <c:axId val="94223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222976"/>
        <c:crosses val="autoZero"/>
        <c:auto val="1"/>
        <c:lblAlgn val="ctr"/>
        <c:lblOffset val="100"/>
        <c:noMultiLvlLbl val="0"/>
      </c:catAx>
      <c:valAx>
        <c:axId val="942222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234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project.xlsx]pivot and slicers!PivotTable7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Patient Outcome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bar"/>
        <c:grouping val="stacked"/>
        <c:varyColors val="0"/>
        <c:ser>
          <c:idx val="0"/>
          <c:order val="0"/>
          <c:tx>
            <c:strRef>
              <c:f>'pivot and slicers'!$B$99:$B$100</c:f>
              <c:strCache>
                <c:ptCount val="1"/>
                <c:pt idx="0">
                  <c:v>Critical</c:v>
                </c:pt>
              </c:strCache>
            </c:strRef>
          </c:tx>
          <c:spPr>
            <a:solidFill>
              <a:srgbClr val="FF0000"/>
            </a:solidFill>
            <a:ln>
              <a:noFill/>
            </a:ln>
            <a:effectLst/>
          </c:spPr>
          <c:invertIfNegative val="0"/>
          <c:cat>
            <c:strRef>
              <c:f>'pivot and slicers'!$A$101:$A$105</c:f>
              <c:strCache>
                <c:ptCount val="4"/>
                <c:pt idx="0">
                  <c:v>City Hospital</c:v>
                </c:pt>
                <c:pt idx="1">
                  <c:v>Apollo Care</c:v>
                </c:pt>
                <c:pt idx="2">
                  <c:v>LifeCare Center</c:v>
                </c:pt>
                <c:pt idx="3">
                  <c:v>Sunrise Clinic</c:v>
                </c:pt>
              </c:strCache>
            </c:strRef>
          </c:cat>
          <c:val>
            <c:numRef>
              <c:f>'pivot and slicers'!$B$101:$B$105</c:f>
              <c:numCache>
                <c:formatCode>General</c:formatCode>
                <c:ptCount val="4"/>
                <c:pt idx="0">
                  <c:v>20</c:v>
                </c:pt>
                <c:pt idx="1">
                  <c:v>16</c:v>
                </c:pt>
                <c:pt idx="2">
                  <c:v>17</c:v>
                </c:pt>
                <c:pt idx="3">
                  <c:v>26</c:v>
                </c:pt>
              </c:numCache>
            </c:numRef>
          </c:val>
          <c:extLst>
            <c:ext xmlns:c16="http://schemas.microsoft.com/office/drawing/2014/chart" uri="{C3380CC4-5D6E-409C-BE32-E72D297353CC}">
              <c16:uniqueId val="{00000000-50B2-45CC-AA2C-4BC6FCB272EF}"/>
            </c:ext>
          </c:extLst>
        </c:ser>
        <c:ser>
          <c:idx val="1"/>
          <c:order val="1"/>
          <c:tx>
            <c:strRef>
              <c:f>'pivot and slicers'!$C$99:$C$100</c:f>
              <c:strCache>
                <c:ptCount val="1"/>
                <c:pt idx="0">
                  <c:v>Recovered</c:v>
                </c:pt>
              </c:strCache>
            </c:strRef>
          </c:tx>
          <c:spPr>
            <a:solidFill>
              <a:srgbClr val="00B050"/>
            </a:solidFill>
            <a:ln>
              <a:noFill/>
            </a:ln>
            <a:effectLst/>
          </c:spPr>
          <c:invertIfNegative val="0"/>
          <c:cat>
            <c:strRef>
              <c:f>'pivot and slicers'!$A$101:$A$105</c:f>
              <c:strCache>
                <c:ptCount val="4"/>
                <c:pt idx="0">
                  <c:v>City Hospital</c:v>
                </c:pt>
                <c:pt idx="1">
                  <c:v>Apollo Care</c:v>
                </c:pt>
                <c:pt idx="2">
                  <c:v>LifeCare Center</c:v>
                </c:pt>
                <c:pt idx="3">
                  <c:v>Sunrise Clinic</c:v>
                </c:pt>
              </c:strCache>
            </c:strRef>
          </c:cat>
          <c:val>
            <c:numRef>
              <c:f>'pivot and slicers'!$C$101:$C$105</c:f>
              <c:numCache>
                <c:formatCode>General</c:formatCode>
                <c:ptCount val="4"/>
                <c:pt idx="0">
                  <c:v>184</c:v>
                </c:pt>
                <c:pt idx="1">
                  <c:v>178</c:v>
                </c:pt>
                <c:pt idx="2">
                  <c:v>172</c:v>
                </c:pt>
                <c:pt idx="3">
                  <c:v>169</c:v>
                </c:pt>
              </c:numCache>
            </c:numRef>
          </c:val>
          <c:extLst>
            <c:ext xmlns:c16="http://schemas.microsoft.com/office/drawing/2014/chart" uri="{C3380CC4-5D6E-409C-BE32-E72D297353CC}">
              <c16:uniqueId val="{00000003-7521-4559-B26B-341A2F0D7835}"/>
            </c:ext>
          </c:extLst>
        </c:ser>
        <c:ser>
          <c:idx val="2"/>
          <c:order val="2"/>
          <c:tx>
            <c:strRef>
              <c:f>'pivot and slicers'!$D$99:$D$100</c:f>
              <c:strCache>
                <c:ptCount val="1"/>
                <c:pt idx="0">
                  <c:v>Under Treatment</c:v>
                </c:pt>
              </c:strCache>
            </c:strRef>
          </c:tx>
          <c:spPr>
            <a:solidFill>
              <a:srgbClr val="FFC000"/>
            </a:solidFill>
            <a:ln>
              <a:noFill/>
            </a:ln>
            <a:effectLst/>
          </c:spPr>
          <c:invertIfNegative val="0"/>
          <c:cat>
            <c:strRef>
              <c:f>'pivot and slicers'!$A$101:$A$105</c:f>
              <c:strCache>
                <c:ptCount val="4"/>
                <c:pt idx="0">
                  <c:v>City Hospital</c:v>
                </c:pt>
                <c:pt idx="1">
                  <c:v>Apollo Care</c:v>
                </c:pt>
                <c:pt idx="2">
                  <c:v>LifeCare Center</c:v>
                </c:pt>
                <c:pt idx="3">
                  <c:v>Sunrise Clinic</c:v>
                </c:pt>
              </c:strCache>
            </c:strRef>
          </c:cat>
          <c:val>
            <c:numRef>
              <c:f>'pivot and slicers'!$D$101:$D$105</c:f>
              <c:numCache>
                <c:formatCode>General</c:formatCode>
                <c:ptCount val="4"/>
                <c:pt idx="0">
                  <c:v>56</c:v>
                </c:pt>
                <c:pt idx="1">
                  <c:v>52</c:v>
                </c:pt>
                <c:pt idx="2">
                  <c:v>59</c:v>
                </c:pt>
                <c:pt idx="3">
                  <c:v>51</c:v>
                </c:pt>
              </c:numCache>
            </c:numRef>
          </c:val>
          <c:extLst>
            <c:ext xmlns:c16="http://schemas.microsoft.com/office/drawing/2014/chart" uri="{C3380CC4-5D6E-409C-BE32-E72D297353CC}">
              <c16:uniqueId val="{00000004-7521-4559-B26B-341A2F0D7835}"/>
            </c:ext>
          </c:extLst>
        </c:ser>
        <c:dLbls>
          <c:showLegendKey val="0"/>
          <c:showVal val="0"/>
          <c:showCatName val="0"/>
          <c:showSerName val="0"/>
          <c:showPercent val="0"/>
          <c:showBubbleSize val="0"/>
        </c:dLbls>
        <c:gapWidth val="100"/>
        <c:overlap val="100"/>
        <c:axId val="248155824"/>
        <c:axId val="248156304"/>
      </c:barChart>
      <c:catAx>
        <c:axId val="248155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156304"/>
        <c:crosses val="autoZero"/>
        <c:auto val="1"/>
        <c:lblAlgn val="ctr"/>
        <c:lblOffset val="100"/>
        <c:noMultiLvlLbl val="0"/>
      </c:catAx>
      <c:valAx>
        <c:axId val="248156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15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project.xlsx]pivot and slicers!PivotTable8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Patient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and slicers'!$M$67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and slicers'!$L$68:$L$80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and slicers'!$M$68:$M$80</c:f>
              <c:numCache>
                <c:formatCode>General</c:formatCode>
                <c:ptCount val="12"/>
                <c:pt idx="0">
                  <c:v>92</c:v>
                </c:pt>
                <c:pt idx="1">
                  <c:v>81</c:v>
                </c:pt>
                <c:pt idx="2">
                  <c:v>76</c:v>
                </c:pt>
                <c:pt idx="3">
                  <c:v>80</c:v>
                </c:pt>
                <c:pt idx="4">
                  <c:v>86</c:v>
                </c:pt>
                <c:pt idx="5">
                  <c:v>93</c:v>
                </c:pt>
                <c:pt idx="6">
                  <c:v>86</c:v>
                </c:pt>
                <c:pt idx="7">
                  <c:v>75</c:v>
                </c:pt>
                <c:pt idx="8">
                  <c:v>79</c:v>
                </c:pt>
                <c:pt idx="9">
                  <c:v>84</c:v>
                </c:pt>
                <c:pt idx="10">
                  <c:v>80</c:v>
                </c:pt>
                <c:pt idx="11">
                  <c:v>88</c:v>
                </c:pt>
              </c:numCache>
            </c:numRef>
          </c:val>
          <c:smooth val="0"/>
          <c:extLst>
            <c:ext xmlns:c16="http://schemas.microsoft.com/office/drawing/2014/chart" uri="{C3380CC4-5D6E-409C-BE32-E72D297353CC}">
              <c16:uniqueId val="{00000000-36E4-43CE-B0F0-43FDA09D1B7E}"/>
            </c:ext>
          </c:extLst>
        </c:ser>
        <c:dLbls>
          <c:showLegendKey val="0"/>
          <c:showVal val="0"/>
          <c:showCatName val="0"/>
          <c:showSerName val="0"/>
          <c:showPercent val="0"/>
          <c:showBubbleSize val="0"/>
        </c:dLbls>
        <c:marker val="1"/>
        <c:smooth val="0"/>
        <c:axId val="1976115663"/>
        <c:axId val="1976128623"/>
      </c:lineChart>
      <c:catAx>
        <c:axId val="197611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128623"/>
        <c:crosses val="autoZero"/>
        <c:auto val="1"/>
        <c:lblAlgn val="ctr"/>
        <c:lblOffset val="100"/>
        <c:noMultiLvlLbl val="0"/>
      </c:catAx>
      <c:valAx>
        <c:axId val="1976128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115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excel project.xlsx]pivot and slicers!PivotTable6</c:name>
    <c:fmtId val="10"/>
  </c:pivotSource>
  <c:chart>
    <c:title>
      <c:tx>
        <c:rich>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r>
              <a:rPr lang="en-US">
                <a:solidFill>
                  <a:schemeClr val="accent6"/>
                </a:solidFill>
              </a:rPr>
              <a:t>Gender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and slicers'!$B$87</c:f>
              <c:strCache>
                <c:ptCount val="1"/>
                <c:pt idx="0">
                  <c:v>Total</c:v>
                </c:pt>
              </c:strCache>
            </c:strRef>
          </c:tx>
          <c:dPt>
            <c:idx val="0"/>
            <c:bubble3D val="0"/>
            <c:spPr>
              <a:solidFill>
                <a:schemeClr val="accent6">
                  <a:tint val="77000"/>
                </a:schemeClr>
              </a:solidFill>
              <a:ln w="19050">
                <a:solidFill>
                  <a:schemeClr val="lt1"/>
                </a:solidFill>
              </a:ln>
              <a:effectLst/>
            </c:spPr>
          </c:dPt>
          <c:dPt>
            <c:idx val="1"/>
            <c:bubble3D val="0"/>
            <c:spPr>
              <a:solidFill>
                <a:schemeClr val="accent6">
                  <a:shade val="76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and slicers'!$A$88:$A$90</c:f>
              <c:strCache>
                <c:ptCount val="2"/>
                <c:pt idx="0">
                  <c:v>Female</c:v>
                </c:pt>
                <c:pt idx="1">
                  <c:v>Male</c:v>
                </c:pt>
              </c:strCache>
            </c:strRef>
          </c:cat>
          <c:val>
            <c:numRef>
              <c:f>'pivot and slicers'!$B$88:$B$90</c:f>
              <c:numCache>
                <c:formatCode>General</c:formatCode>
                <c:ptCount val="2"/>
                <c:pt idx="0">
                  <c:v>510</c:v>
                </c:pt>
                <c:pt idx="1">
                  <c:v>490</c:v>
                </c:pt>
              </c:numCache>
            </c:numRef>
          </c:val>
          <c:extLst>
            <c:ext xmlns:c16="http://schemas.microsoft.com/office/drawing/2014/chart" uri="{C3380CC4-5D6E-409C-BE32-E72D297353CC}">
              <c16:uniqueId val="{00000000-B0EB-42EC-AD8B-8FED99DFDB2D}"/>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excel project.xlsx]pivot and slicers!PivotTable2</c:name>
    <c:fmtId val="5"/>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IN"/>
              <a:t>Patient Distribution by Disease</a:t>
            </a:r>
            <a:endParaRPr lang="en-US"/>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and slicers'!$B$3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and slicers'!$A$4:$A$10</c:f>
              <c:strCache>
                <c:ptCount val="6"/>
                <c:pt idx="0">
                  <c:v>Flu</c:v>
                </c:pt>
                <c:pt idx="1">
                  <c:v>Asthma</c:v>
                </c:pt>
                <c:pt idx="2">
                  <c:v>Hypertension</c:v>
                </c:pt>
                <c:pt idx="3">
                  <c:v>COVID-19</c:v>
                </c:pt>
                <c:pt idx="4">
                  <c:v>Diabetes</c:v>
                </c:pt>
                <c:pt idx="5">
                  <c:v>Heart Disease</c:v>
                </c:pt>
              </c:strCache>
            </c:strRef>
          </c:cat>
          <c:val>
            <c:numRef>
              <c:f>'pivot and slicers'!$B$4:$B$10</c:f>
              <c:numCache>
                <c:formatCode>General</c:formatCode>
                <c:ptCount val="6"/>
                <c:pt idx="0">
                  <c:v>183</c:v>
                </c:pt>
                <c:pt idx="1">
                  <c:v>175</c:v>
                </c:pt>
                <c:pt idx="2">
                  <c:v>172</c:v>
                </c:pt>
                <c:pt idx="3">
                  <c:v>170</c:v>
                </c:pt>
                <c:pt idx="4">
                  <c:v>162</c:v>
                </c:pt>
                <c:pt idx="5">
                  <c:v>138</c:v>
                </c:pt>
              </c:numCache>
            </c:numRef>
          </c:val>
          <c:extLst>
            <c:ext xmlns:c16="http://schemas.microsoft.com/office/drawing/2014/chart" uri="{C3380CC4-5D6E-409C-BE32-E72D297353CC}">
              <c16:uniqueId val="{00000000-68D5-4595-B779-EA33B8A70915}"/>
            </c:ext>
          </c:extLst>
        </c:ser>
        <c:dLbls>
          <c:dLblPos val="outEnd"/>
          <c:showLegendKey val="0"/>
          <c:showVal val="1"/>
          <c:showCatName val="0"/>
          <c:showSerName val="0"/>
          <c:showPercent val="0"/>
          <c:showBubbleSize val="0"/>
        </c:dLbls>
        <c:gapWidth val="182"/>
        <c:axId val="2064491952"/>
        <c:axId val="2064492432"/>
      </c:barChart>
      <c:catAx>
        <c:axId val="20644919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64492432"/>
        <c:crosses val="autoZero"/>
        <c:auto val="1"/>
        <c:lblAlgn val="ctr"/>
        <c:lblOffset val="100"/>
        <c:noMultiLvlLbl val="0"/>
      </c:catAx>
      <c:valAx>
        <c:axId val="20644924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64491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excel project.xlsx]pivot and slicers!PivotTable8</c:name>
    <c:fmtId val="3"/>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Monthly Patient Trend</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and slicers'!$M$67</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and slicers'!$L$68:$L$80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and slicers'!$M$68:$M$80</c:f>
              <c:numCache>
                <c:formatCode>General</c:formatCode>
                <c:ptCount val="12"/>
                <c:pt idx="0">
                  <c:v>92</c:v>
                </c:pt>
                <c:pt idx="1">
                  <c:v>81</c:v>
                </c:pt>
                <c:pt idx="2">
                  <c:v>76</c:v>
                </c:pt>
                <c:pt idx="3">
                  <c:v>80</c:v>
                </c:pt>
                <c:pt idx="4">
                  <c:v>86</c:v>
                </c:pt>
                <c:pt idx="5">
                  <c:v>93</c:v>
                </c:pt>
                <c:pt idx="6">
                  <c:v>86</c:v>
                </c:pt>
                <c:pt idx="7">
                  <c:v>75</c:v>
                </c:pt>
                <c:pt idx="8">
                  <c:v>79</c:v>
                </c:pt>
                <c:pt idx="9">
                  <c:v>84</c:v>
                </c:pt>
                <c:pt idx="10">
                  <c:v>80</c:v>
                </c:pt>
                <c:pt idx="11">
                  <c:v>88</c:v>
                </c:pt>
              </c:numCache>
            </c:numRef>
          </c:val>
          <c:smooth val="0"/>
          <c:extLst>
            <c:ext xmlns:c16="http://schemas.microsoft.com/office/drawing/2014/chart" uri="{C3380CC4-5D6E-409C-BE32-E72D297353CC}">
              <c16:uniqueId val="{00000000-3D0D-4BB6-BE1C-11947702EBB2}"/>
            </c:ext>
          </c:extLst>
        </c:ser>
        <c:dLbls>
          <c:showLegendKey val="0"/>
          <c:showVal val="0"/>
          <c:showCatName val="0"/>
          <c:showSerName val="0"/>
          <c:showPercent val="0"/>
          <c:showBubbleSize val="0"/>
        </c:dLbls>
        <c:marker val="1"/>
        <c:smooth val="0"/>
        <c:axId val="1976115663"/>
        <c:axId val="1976128623"/>
      </c:lineChart>
      <c:catAx>
        <c:axId val="197611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76128623"/>
        <c:crosses val="autoZero"/>
        <c:auto val="1"/>
        <c:lblAlgn val="ctr"/>
        <c:lblOffset val="100"/>
        <c:noMultiLvlLbl val="0"/>
      </c:catAx>
      <c:valAx>
        <c:axId val="1976128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76115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excel project.xlsx]pivot and slicers!PivotTable3</c:name>
    <c:fmtId val="13"/>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IN"/>
              <a:t>Hospital Performance Overview</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and slicers'!$B$36</c:f>
              <c:strCache>
                <c:ptCount val="1"/>
                <c:pt idx="0">
                  <c:v>Count of Patient_ID</c:v>
                </c:pt>
              </c:strCache>
            </c:strRef>
          </c:tx>
          <c:spPr>
            <a:solidFill>
              <a:schemeClr val="accent6">
                <a:shade val="76000"/>
              </a:schemeClr>
            </a:solidFill>
            <a:ln>
              <a:noFill/>
            </a:ln>
            <a:effectLst/>
          </c:spPr>
          <c:invertIfNegative val="0"/>
          <c:cat>
            <c:strRef>
              <c:f>'pivot and slicers'!$A$37:$A$41</c:f>
              <c:strCache>
                <c:ptCount val="4"/>
                <c:pt idx="0">
                  <c:v>City Hospital</c:v>
                </c:pt>
                <c:pt idx="1">
                  <c:v>LifeCare Center</c:v>
                </c:pt>
                <c:pt idx="2">
                  <c:v>Sunrise Clinic</c:v>
                </c:pt>
                <c:pt idx="3">
                  <c:v>Apollo Care</c:v>
                </c:pt>
              </c:strCache>
            </c:strRef>
          </c:cat>
          <c:val>
            <c:numRef>
              <c:f>'pivot and slicers'!$B$37:$B$41</c:f>
              <c:numCache>
                <c:formatCode>General</c:formatCode>
                <c:ptCount val="4"/>
                <c:pt idx="0">
                  <c:v>260</c:v>
                </c:pt>
                <c:pt idx="1">
                  <c:v>248</c:v>
                </c:pt>
                <c:pt idx="2">
                  <c:v>246</c:v>
                </c:pt>
                <c:pt idx="3">
                  <c:v>246</c:v>
                </c:pt>
              </c:numCache>
            </c:numRef>
          </c:val>
          <c:extLst>
            <c:ext xmlns:c16="http://schemas.microsoft.com/office/drawing/2014/chart" uri="{C3380CC4-5D6E-409C-BE32-E72D297353CC}">
              <c16:uniqueId val="{00000000-1C42-4E38-9AC1-2D165630946D}"/>
            </c:ext>
          </c:extLst>
        </c:ser>
        <c:dLbls>
          <c:showLegendKey val="0"/>
          <c:showVal val="0"/>
          <c:showCatName val="0"/>
          <c:showSerName val="0"/>
          <c:showPercent val="0"/>
          <c:showBubbleSize val="0"/>
        </c:dLbls>
        <c:gapWidth val="219"/>
        <c:overlap val="-27"/>
        <c:axId val="942227296"/>
        <c:axId val="942223456"/>
      </c:barChart>
      <c:lineChart>
        <c:grouping val="standard"/>
        <c:varyColors val="0"/>
        <c:ser>
          <c:idx val="1"/>
          <c:order val="1"/>
          <c:tx>
            <c:strRef>
              <c:f>'pivot and slicers'!$C$36</c:f>
              <c:strCache>
                <c:ptCount val="1"/>
                <c:pt idx="0">
                  <c:v>Sum of Treatment_Cost</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'pivot and slicers'!$A$37:$A$41</c:f>
              <c:strCache>
                <c:ptCount val="4"/>
                <c:pt idx="0">
                  <c:v>City Hospital</c:v>
                </c:pt>
                <c:pt idx="1">
                  <c:v>LifeCare Center</c:v>
                </c:pt>
                <c:pt idx="2">
                  <c:v>Sunrise Clinic</c:v>
                </c:pt>
                <c:pt idx="3">
                  <c:v>Apollo Care</c:v>
                </c:pt>
              </c:strCache>
            </c:strRef>
          </c:cat>
          <c:val>
            <c:numRef>
              <c:f>'pivot and slicers'!$C$37:$C$41</c:f>
              <c:numCache>
                <c:formatCode>General</c:formatCode>
                <c:ptCount val="4"/>
                <c:pt idx="0">
                  <c:v>6645770</c:v>
                </c:pt>
                <c:pt idx="1">
                  <c:v>6254871</c:v>
                </c:pt>
                <c:pt idx="2">
                  <c:v>6502082</c:v>
                </c:pt>
                <c:pt idx="3">
                  <c:v>6760691</c:v>
                </c:pt>
              </c:numCache>
            </c:numRef>
          </c:val>
          <c:smooth val="0"/>
          <c:extLst>
            <c:ext xmlns:c16="http://schemas.microsoft.com/office/drawing/2014/chart" uri="{C3380CC4-5D6E-409C-BE32-E72D297353CC}">
              <c16:uniqueId val="{00000001-1C42-4E38-9AC1-2D165630946D}"/>
            </c:ext>
          </c:extLst>
        </c:ser>
        <c:dLbls>
          <c:showLegendKey val="0"/>
          <c:showVal val="0"/>
          <c:showCatName val="0"/>
          <c:showSerName val="0"/>
          <c:showPercent val="0"/>
          <c:showBubbleSize val="0"/>
        </c:dLbls>
        <c:marker val="1"/>
        <c:smooth val="0"/>
        <c:axId val="79089536"/>
        <c:axId val="79092896"/>
      </c:lineChart>
      <c:catAx>
        <c:axId val="7908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9092896"/>
        <c:crosses val="autoZero"/>
        <c:auto val="1"/>
        <c:lblAlgn val="ctr"/>
        <c:lblOffset val="100"/>
        <c:noMultiLvlLbl val="0"/>
      </c:catAx>
      <c:valAx>
        <c:axId val="79092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9089536"/>
        <c:crosses val="autoZero"/>
        <c:crossBetween val="between"/>
      </c:valAx>
      <c:valAx>
        <c:axId val="9422234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42227296"/>
        <c:crosses val="max"/>
        <c:crossBetween val="between"/>
      </c:valAx>
      <c:catAx>
        <c:axId val="942227296"/>
        <c:scaling>
          <c:orientation val="minMax"/>
        </c:scaling>
        <c:delete val="1"/>
        <c:axPos val="b"/>
        <c:numFmt formatCode="General" sourceLinked="1"/>
        <c:majorTickMark val="out"/>
        <c:minorTickMark val="none"/>
        <c:tickLblPos val="nextTo"/>
        <c:crossAx val="94222345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excel project.xlsx]pivot and slicers!PivotTable4</c:name>
    <c:fmtId val="3"/>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IN"/>
              <a:t>Doctor Efficiency Analysis</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and slicers'!$B$50</c:f>
              <c:strCache>
                <c:ptCount val="1"/>
                <c:pt idx="0">
                  <c:v>Count of Patient_ID</c:v>
                </c:pt>
              </c:strCache>
            </c:strRef>
          </c:tx>
          <c:spPr>
            <a:solidFill>
              <a:schemeClr val="accent6">
                <a:shade val="76000"/>
              </a:schemeClr>
            </a:solidFill>
            <a:ln>
              <a:noFill/>
            </a:ln>
            <a:effectLst/>
          </c:spPr>
          <c:invertIfNegative val="0"/>
          <c:cat>
            <c:strRef>
              <c:f>'pivot and slicers'!$A$51:$A$56</c:f>
              <c:strCache>
                <c:ptCount val="5"/>
                <c:pt idx="0">
                  <c:v>Dr. Singh</c:v>
                </c:pt>
                <c:pt idx="1">
                  <c:v>Dr. Sharma</c:v>
                </c:pt>
                <c:pt idx="2">
                  <c:v>Dr. Mehta</c:v>
                </c:pt>
                <c:pt idx="3">
                  <c:v>Dr. Khan</c:v>
                </c:pt>
                <c:pt idx="4">
                  <c:v>Dr. Patel</c:v>
                </c:pt>
              </c:strCache>
            </c:strRef>
          </c:cat>
          <c:val>
            <c:numRef>
              <c:f>'pivot and slicers'!$B$51:$B$56</c:f>
              <c:numCache>
                <c:formatCode>General</c:formatCode>
                <c:ptCount val="5"/>
                <c:pt idx="0">
                  <c:v>213</c:v>
                </c:pt>
                <c:pt idx="1">
                  <c:v>206</c:v>
                </c:pt>
                <c:pt idx="2">
                  <c:v>206</c:v>
                </c:pt>
                <c:pt idx="3">
                  <c:v>201</c:v>
                </c:pt>
                <c:pt idx="4">
                  <c:v>174</c:v>
                </c:pt>
              </c:numCache>
            </c:numRef>
          </c:val>
          <c:extLst>
            <c:ext xmlns:c16="http://schemas.microsoft.com/office/drawing/2014/chart" uri="{C3380CC4-5D6E-409C-BE32-E72D297353CC}">
              <c16:uniqueId val="{00000000-98E9-483F-8487-08CF8991827D}"/>
            </c:ext>
          </c:extLst>
        </c:ser>
        <c:dLbls>
          <c:showLegendKey val="0"/>
          <c:showVal val="0"/>
          <c:showCatName val="0"/>
          <c:showSerName val="0"/>
          <c:showPercent val="0"/>
          <c:showBubbleSize val="0"/>
        </c:dLbls>
        <c:gapWidth val="182"/>
        <c:axId val="2028286288"/>
        <c:axId val="2028287728"/>
      </c:barChart>
      <c:barChart>
        <c:barDir val="bar"/>
        <c:grouping val="clustered"/>
        <c:varyColors val="0"/>
        <c:ser>
          <c:idx val="1"/>
          <c:order val="1"/>
          <c:tx>
            <c:strRef>
              <c:f>'pivot and slicers'!$C$50</c:f>
              <c:strCache>
                <c:ptCount val="1"/>
                <c:pt idx="0">
                  <c:v>Average of Stay_Days</c:v>
                </c:pt>
              </c:strCache>
            </c:strRef>
          </c:tx>
          <c:spPr>
            <a:solidFill>
              <a:schemeClr val="accent6">
                <a:tint val="77000"/>
              </a:schemeClr>
            </a:solidFill>
            <a:ln>
              <a:noFill/>
            </a:ln>
            <a:effectLst/>
          </c:spPr>
          <c:invertIfNegative val="0"/>
          <c:cat>
            <c:strRef>
              <c:f>'pivot and slicers'!$A$51:$A$56</c:f>
              <c:strCache>
                <c:ptCount val="5"/>
                <c:pt idx="0">
                  <c:v>Dr. Singh</c:v>
                </c:pt>
                <c:pt idx="1">
                  <c:v>Dr. Sharma</c:v>
                </c:pt>
                <c:pt idx="2">
                  <c:v>Dr. Mehta</c:v>
                </c:pt>
                <c:pt idx="3">
                  <c:v>Dr. Khan</c:v>
                </c:pt>
                <c:pt idx="4">
                  <c:v>Dr. Patel</c:v>
                </c:pt>
              </c:strCache>
            </c:strRef>
          </c:cat>
          <c:val>
            <c:numRef>
              <c:f>'pivot and slicers'!$C$51:$C$56</c:f>
              <c:numCache>
                <c:formatCode>General</c:formatCode>
                <c:ptCount val="5"/>
                <c:pt idx="0">
                  <c:v>7.112676056338028</c:v>
                </c:pt>
                <c:pt idx="1">
                  <c:v>7.7572815533980579</c:v>
                </c:pt>
                <c:pt idx="2">
                  <c:v>7.6699029126213594</c:v>
                </c:pt>
                <c:pt idx="3">
                  <c:v>8.08955223880597</c:v>
                </c:pt>
                <c:pt idx="4">
                  <c:v>7.6609195402298846</c:v>
                </c:pt>
              </c:numCache>
            </c:numRef>
          </c:val>
          <c:extLst>
            <c:ext xmlns:c16="http://schemas.microsoft.com/office/drawing/2014/chart" uri="{C3380CC4-5D6E-409C-BE32-E72D297353CC}">
              <c16:uniqueId val="{00000001-98E9-483F-8487-08CF8991827D}"/>
            </c:ext>
          </c:extLst>
        </c:ser>
        <c:dLbls>
          <c:showLegendKey val="0"/>
          <c:showVal val="0"/>
          <c:showCatName val="0"/>
          <c:showSerName val="0"/>
          <c:showPercent val="0"/>
          <c:showBubbleSize val="0"/>
        </c:dLbls>
        <c:gapWidth val="182"/>
        <c:axId val="203718415"/>
        <c:axId val="203717935"/>
      </c:barChart>
      <c:catAx>
        <c:axId val="20282862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28287728"/>
        <c:crosses val="autoZero"/>
        <c:auto val="1"/>
        <c:lblAlgn val="ctr"/>
        <c:lblOffset val="100"/>
        <c:noMultiLvlLbl val="0"/>
      </c:catAx>
      <c:valAx>
        <c:axId val="20282877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28286288"/>
        <c:crosses val="autoZero"/>
        <c:crossBetween val="between"/>
      </c:valAx>
      <c:valAx>
        <c:axId val="203717935"/>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3718415"/>
        <c:crosses val="max"/>
        <c:crossBetween val="between"/>
      </c:valAx>
      <c:catAx>
        <c:axId val="203718415"/>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3717935"/>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excel project.xlsx]pivot and slicers!PivotTable7</c:name>
    <c:fmtId val="4"/>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IN"/>
              <a:t>Patient Outcome Analysis</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and slicers'!$B$99:$B$100</c:f>
              <c:strCache>
                <c:ptCount val="1"/>
                <c:pt idx="0">
                  <c:v>Critical</c:v>
                </c:pt>
              </c:strCache>
            </c:strRef>
          </c:tx>
          <c:spPr>
            <a:solidFill>
              <a:srgbClr val="FF0000"/>
            </a:solidFill>
            <a:ln>
              <a:noFill/>
            </a:ln>
            <a:effectLst/>
          </c:spPr>
          <c:invertIfNegative val="0"/>
          <c:cat>
            <c:strRef>
              <c:f>'pivot and slicers'!$A$101:$A$105</c:f>
              <c:strCache>
                <c:ptCount val="4"/>
                <c:pt idx="0">
                  <c:v>City Hospital</c:v>
                </c:pt>
                <c:pt idx="1">
                  <c:v>Apollo Care</c:v>
                </c:pt>
                <c:pt idx="2">
                  <c:v>LifeCare Center</c:v>
                </c:pt>
                <c:pt idx="3">
                  <c:v>Sunrise Clinic</c:v>
                </c:pt>
              </c:strCache>
            </c:strRef>
          </c:cat>
          <c:val>
            <c:numRef>
              <c:f>'pivot and slicers'!$B$101:$B$105</c:f>
              <c:numCache>
                <c:formatCode>General</c:formatCode>
                <c:ptCount val="4"/>
                <c:pt idx="0">
                  <c:v>20</c:v>
                </c:pt>
                <c:pt idx="1">
                  <c:v>16</c:v>
                </c:pt>
                <c:pt idx="2">
                  <c:v>17</c:v>
                </c:pt>
                <c:pt idx="3">
                  <c:v>26</c:v>
                </c:pt>
              </c:numCache>
            </c:numRef>
          </c:val>
          <c:extLst>
            <c:ext xmlns:c16="http://schemas.microsoft.com/office/drawing/2014/chart" uri="{C3380CC4-5D6E-409C-BE32-E72D297353CC}">
              <c16:uniqueId val="{00000000-9B7D-46D8-871B-20F243F22729}"/>
            </c:ext>
          </c:extLst>
        </c:ser>
        <c:ser>
          <c:idx val="1"/>
          <c:order val="1"/>
          <c:tx>
            <c:strRef>
              <c:f>'pivot and slicers'!$C$99:$C$100</c:f>
              <c:strCache>
                <c:ptCount val="1"/>
                <c:pt idx="0">
                  <c:v>Recovered</c:v>
                </c:pt>
              </c:strCache>
            </c:strRef>
          </c:tx>
          <c:spPr>
            <a:solidFill>
              <a:srgbClr val="00B050"/>
            </a:solidFill>
            <a:ln>
              <a:noFill/>
            </a:ln>
            <a:effectLst/>
          </c:spPr>
          <c:invertIfNegative val="0"/>
          <c:cat>
            <c:strRef>
              <c:f>'pivot and slicers'!$A$101:$A$105</c:f>
              <c:strCache>
                <c:ptCount val="4"/>
                <c:pt idx="0">
                  <c:v>City Hospital</c:v>
                </c:pt>
                <c:pt idx="1">
                  <c:v>Apollo Care</c:v>
                </c:pt>
                <c:pt idx="2">
                  <c:v>LifeCare Center</c:v>
                </c:pt>
                <c:pt idx="3">
                  <c:v>Sunrise Clinic</c:v>
                </c:pt>
              </c:strCache>
            </c:strRef>
          </c:cat>
          <c:val>
            <c:numRef>
              <c:f>'pivot and slicers'!$C$101:$C$105</c:f>
              <c:numCache>
                <c:formatCode>General</c:formatCode>
                <c:ptCount val="4"/>
                <c:pt idx="0">
                  <c:v>184</c:v>
                </c:pt>
                <c:pt idx="1">
                  <c:v>178</c:v>
                </c:pt>
                <c:pt idx="2">
                  <c:v>172</c:v>
                </c:pt>
                <c:pt idx="3">
                  <c:v>169</c:v>
                </c:pt>
              </c:numCache>
            </c:numRef>
          </c:val>
          <c:extLst>
            <c:ext xmlns:c16="http://schemas.microsoft.com/office/drawing/2014/chart" uri="{C3380CC4-5D6E-409C-BE32-E72D297353CC}">
              <c16:uniqueId val="{00000004-9B7D-46D8-871B-20F243F22729}"/>
            </c:ext>
          </c:extLst>
        </c:ser>
        <c:ser>
          <c:idx val="2"/>
          <c:order val="2"/>
          <c:tx>
            <c:strRef>
              <c:f>'pivot and slicers'!$D$99:$D$100</c:f>
              <c:strCache>
                <c:ptCount val="1"/>
                <c:pt idx="0">
                  <c:v>Under Treatment</c:v>
                </c:pt>
              </c:strCache>
            </c:strRef>
          </c:tx>
          <c:spPr>
            <a:solidFill>
              <a:srgbClr val="FFC000"/>
            </a:solidFill>
            <a:ln>
              <a:noFill/>
            </a:ln>
            <a:effectLst/>
          </c:spPr>
          <c:invertIfNegative val="0"/>
          <c:cat>
            <c:strRef>
              <c:f>'pivot and slicers'!$A$101:$A$105</c:f>
              <c:strCache>
                <c:ptCount val="4"/>
                <c:pt idx="0">
                  <c:v>City Hospital</c:v>
                </c:pt>
                <c:pt idx="1">
                  <c:v>Apollo Care</c:v>
                </c:pt>
                <c:pt idx="2">
                  <c:v>LifeCare Center</c:v>
                </c:pt>
                <c:pt idx="3">
                  <c:v>Sunrise Clinic</c:v>
                </c:pt>
              </c:strCache>
            </c:strRef>
          </c:cat>
          <c:val>
            <c:numRef>
              <c:f>'pivot and slicers'!$D$101:$D$105</c:f>
              <c:numCache>
                <c:formatCode>General</c:formatCode>
                <c:ptCount val="4"/>
                <c:pt idx="0">
                  <c:v>56</c:v>
                </c:pt>
                <c:pt idx="1">
                  <c:v>52</c:v>
                </c:pt>
                <c:pt idx="2">
                  <c:v>59</c:v>
                </c:pt>
                <c:pt idx="3">
                  <c:v>51</c:v>
                </c:pt>
              </c:numCache>
            </c:numRef>
          </c:val>
          <c:extLst>
            <c:ext xmlns:c16="http://schemas.microsoft.com/office/drawing/2014/chart" uri="{C3380CC4-5D6E-409C-BE32-E72D297353CC}">
              <c16:uniqueId val="{00000005-9B7D-46D8-871B-20F243F22729}"/>
            </c:ext>
          </c:extLst>
        </c:ser>
        <c:dLbls>
          <c:showLegendKey val="0"/>
          <c:showVal val="0"/>
          <c:showCatName val="0"/>
          <c:showSerName val="0"/>
          <c:showPercent val="0"/>
          <c:showBubbleSize val="0"/>
        </c:dLbls>
        <c:gapWidth val="100"/>
        <c:overlap val="100"/>
        <c:axId val="248155824"/>
        <c:axId val="248156304"/>
      </c:barChart>
      <c:catAx>
        <c:axId val="248155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48156304"/>
        <c:crosses val="autoZero"/>
        <c:auto val="1"/>
        <c:lblAlgn val="ctr"/>
        <c:lblOffset val="100"/>
        <c:noMultiLvlLbl val="0"/>
      </c:catAx>
      <c:valAx>
        <c:axId val="248156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48155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 excel project.xlsx]pivot and slicers!PivotTable6</c:name>
    <c:fmtId val="22"/>
  </c:pivotSource>
  <c:chart>
    <c:title>
      <c:tx>
        <c:rich>
          <a:bodyPr rot="0" spcFirstLastPara="1" vertOverflow="ellipsis" vert="horz" wrap="square" anchor="ctr" anchorCtr="1"/>
          <a:lstStyle/>
          <a:p>
            <a:pPr>
              <a:defRPr sz="1680" b="1" i="0" u="none" strike="noStrike" kern="1200" spc="0" baseline="0">
                <a:solidFill>
                  <a:schemeClr val="accent6"/>
                </a:solidFill>
                <a:latin typeface="+mn-lt"/>
                <a:ea typeface="+mn-ea"/>
                <a:cs typeface="+mn-cs"/>
              </a:defRPr>
            </a:pPr>
            <a:r>
              <a:rPr lang="en-US" sz="1600" b="1">
                <a:solidFill>
                  <a:schemeClr val="accent6"/>
                </a:solidFill>
              </a:rPr>
              <a:t>Gender distribution</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tint val="77000"/>
            </a:schemeClr>
          </a:solidFill>
          <a:ln w="19050">
            <a:solidFill>
              <a:schemeClr val="lt1"/>
            </a:solidFill>
          </a:ln>
          <a:effectLst/>
        </c:spPr>
      </c:pivotFmt>
      <c:pivotFmt>
        <c:idx val="3"/>
        <c:spPr>
          <a:solidFill>
            <a:schemeClr val="accent6">
              <a:shade val="76000"/>
            </a:schemeClr>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tint val="77000"/>
            </a:schemeClr>
          </a:solidFill>
          <a:ln w="19050">
            <a:solidFill>
              <a:schemeClr val="lt1"/>
            </a:solidFill>
          </a:ln>
          <a:effectLst/>
        </c:spPr>
      </c:pivotFmt>
      <c:pivotFmt>
        <c:idx val="6"/>
        <c:spPr>
          <a:solidFill>
            <a:schemeClr val="accent6">
              <a:shade val="76000"/>
            </a:schemeClr>
          </a:solidFill>
          <a:ln w="19050">
            <a:solidFill>
              <a:schemeClr val="lt1"/>
            </a:solidFill>
          </a:ln>
          <a:effectLst/>
        </c:spPr>
      </c:pivotFmt>
    </c:pivotFmts>
    <c:plotArea>
      <c:layout/>
      <c:pieChart>
        <c:varyColors val="1"/>
        <c:ser>
          <c:idx val="0"/>
          <c:order val="0"/>
          <c:tx>
            <c:strRef>
              <c:f>'pivot and slicers'!$B$87</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55CB-470C-9602-24CE78EAB55E}"/>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55CB-470C-9602-24CE78EAB55E}"/>
              </c:ext>
            </c:extLst>
          </c:dPt>
          <c:dLbls>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and slicers'!$A$88:$A$90</c:f>
              <c:strCache>
                <c:ptCount val="2"/>
                <c:pt idx="0">
                  <c:v>Female</c:v>
                </c:pt>
                <c:pt idx="1">
                  <c:v>Male</c:v>
                </c:pt>
              </c:strCache>
            </c:strRef>
          </c:cat>
          <c:val>
            <c:numRef>
              <c:f>'pivot and slicers'!$B$88:$B$90</c:f>
              <c:numCache>
                <c:formatCode>General</c:formatCode>
                <c:ptCount val="2"/>
                <c:pt idx="0">
                  <c:v>510</c:v>
                </c:pt>
                <c:pt idx="1">
                  <c:v>490</c:v>
                </c:pt>
              </c:numCache>
            </c:numRef>
          </c:val>
          <c:extLst>
            <c:ext xmlns:c16="http://schemas.microsoft.com/office/drawing/2014/chart" uri="{C3380CC4-5D6E-409C-BE32-E72D297353CC}">
              <c16:uniqueId val="{00000004-55CB-470C-9602-24CE78EAB55E}"/>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sz="14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419101</xdr:colOff>
      <xdr:row>1</xdr:row>
      <xdr:rowOff>30480</xdr:rowOff>
    </xdr:from>
    <xdr:to>
      <xdr:col>8</xdr:col>
      <xdr:colOff>447676</xdr:colOff>
      <xdr:row>9</xdr:row>
      <xdr:rowOff>171450</xdr:rowOff>
    </xdr:to>
    <xdr:graphicFrame macro="">
      <xdr:nvGraphicFramePr>
        <xdr:cNvPr id="2" name="Chart 1">
          <a:extLst>
            <a:ext uri="{FF2B5EF4-FFF2-40B4-BE49-F238E27FC236}">
              <a16:creationId xmlns:a16="http://schemas.microsoft.com/office/drawing/2014/main" id="{F9B75063-1EB0-7638-4956-5DDE170EE0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243840</xdr:colOff>
      <xdr:row>16</xdr:row>
      <xdr:rowOff>129540</xdr:rowOff>
    </xdr:from>
    <xdr:to>
      <xdr:col>1</xdr:col>
      <xdr:colOff>782955</xdr:colOff>
      <xdr:row>30</xdr:row>
      <xdr:rowOff>36195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9D6080EE-20D0-8AD0-A604-B8D7F22E927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3840" y="3055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977265</xdr:colOff>
      <xdr:row>16</xdr:row>
      <xdr:rowOff>144780</xdr:rowOff>
    </xdr:from>
    <xdr:to>
      <xdr:col>3</xdr:col>
      <xdr:colOff>975360</xdr:colOff>
      <xdr:row>30</xdr:row>
      <xdr:rowOff>51435</xdr:rowOff>
    </xdr:to>
    <mc:AlternateContent xmlns:mc="http://schemas.openxmlformats.org/markup-compatibility/2006">
      <mc:Choice xmlns:a14="http://schemas.microsoft.com/office/drawing/2010/main" Requires="a14">
        <xdr:graphicFrame macro="">
          <xdr:nvGraphicFramePr>
            <xdr:cNvPr id="4" name="Doctor">
              <a:extLst>
                <a:ext uri="{FF2B5EF4-FFF2-40B4-BE49-F238E27FC236}">
                  <a16:creationId xmlns:a16="http://schemas.microsoft.com/office/drawing/2014/main" id="{670D5681-1696-D030-7FFE-948166FCB63D}"/>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dr:sp macro="" textlink="">
          <xdr:nvSpPr>
            <xdr:cNvPr id="0" name=""/>
            <xdr:cNvSpPr>
              <a:spLocks noTextEdit="1"/>
            </xdr:cNvSpPr>
          </xdr:nvSpPr>
          <xdr:spPr>
            <a:xfrm>
              <a:off x="2215515" y="3192780"/>
              <a:ext cx="1779270" cy="2573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93345</xdr:colOff>
      <xdr:row>16</xdr:row>
      <xdr:rowOff>144780</xdr:rowOff>
    </xdr:from>
    <xdr:to>
      <xdr:col>6</xdr:col>
      <xdr:colOff>560070</xdr:colOff>
      <xdr:row>30</xdr:row>
      <xdr:rowOff>43815</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C44B57BB-D08B-456D-911D-C4DD64A996C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208145" y="3192780"/>
              <a:ext cx="1828800" cy="2566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45720</xdr:colOff>
      <xdr:row>31</xdr:row>
      <xdr:rowOff>163830</xdr:rowOff>
    </xdr:from>
    <xdr:to>
      <xdr:col>13</xdr:col>
      <xdr:colOff>198120</xdr:colOff>
      <xdr:row>43</xdr:row>
      <xdr:rowOff>60960</xdr:rowOff>
    </xdr:to>
    <xdr:graphicFrame macro="">
      <xdr:nvGraphicFramePr>
        <xdr:cNvPr id="6" name="Chart 5">
          <a:extLst>
            <a:ext uri="{FF2B5EF4-FFF2-40B4-BE49-F238E27FC236}">
              <a16:creationId xmlns:a16="http://schemas.microsoft.com/office/drawing/2014/main" id="{382E34D6-94FE-FD13-1CE4-0921197B6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510540</xdr:colOff>
      <xdr:row>48</xdr:row>
      <xdr:rowOff>171450</xdr:rowOff>
    </xdr:from>
    <xdr:to>
      <xdr:col>10</xdr:col>
      <xdr:colOff>441960</xdr:colOff>
      <xdr:row>60</xdr:row>
      <xdr:rowOff>91440</xdr:rowOff>
    </xdr:to>
    <xdr:graphicFrame macro="">
      <xdr:nvGraphicFramePr>
        <xdr:cNvPr id="7" name="Chart 6">
          <a:extLst>
            <a:ext uri="{FF2B5EF4-FFF2-40B4-BE49-F238E27FC236}">
              <a16:creationId xmlns:a16="http://schemas.microsoft.com/office/drawing/2014/main" id="{5FA45506-F839-A50F-6071-9C70A0723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257175</xdr:colOff>
      <xdr:row>65</xdr:row>
      <xdr:rowOff>173355</xdr:rowOff>
    </xdr:from>
    <xdr:to>
      <xdr:col>6</xdr:col>
      <xdr:colOff>371475</xdr:colOff>
      <xdr:row>78</xdr:row>
      <xdr:rowOff>114300</xdr:rowOff>
    </xdr:to>
    <xdr:graphicFrame macro="">
      <xdr:nvGraphicFramePr>
        <xdr:cNvPr id="8" name="Chart 7">
          <a:extLst>
            <a:ext uri="{FF2B5EF4-FFF2-40B4-BE49-F238E27FC236}">
              <a16:creationId xmlns:a16="http://schemas.microsoft.com/office/drawing/2014/main" id="{97865086-9654-66CC-B010-D3E8B48A8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594360</xdr:colOff>
      <xdr:row>95</xdr:row>
      <xdr:rowOff>118110</xdr:rowOff>
    </xdr:from>
    <xdr:to>
      <xdr:col>12</xdr:col>
      <xdr:colOff>480060</xdr:colOff>
      <xdr:row>108</xdr:row>
      <xdr:rowOff>22860</xdr:rowOff>
    </xdr:to>
    <xdr:graphicFrame macro="">
      <xdr:nvGraphicFramePr>
        <xdr:cNvPr id="10" name="Chart 9">
          <a:extLst>
            <a:ext uri="{FF2B5EF4-FFF2-40B4-BE49-F238E27FC236}">
              <a16:creationId xmlns:a16="http://schemas.microsoft.com/office/drawing/2014/main" id="{4E71FE51-6CEA-6F7B-1155-8402EF026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152400</xdr:colOff>
      <xdr:row>16</xdr:row>
      <xdr:rowOff>102870</xdr:rowOff>
    </xdr:from>
    <xdr:to>
      <xdr:col>10</xdr:col>
      <xdr:colOff>152400</xdr:colOff>
      <xdr:row>30</xdr:row>
      <xdr:rowOff>1905</xdr:rowOff>
    </xdr:to>
    <mc:AlternateContent xmlns:mc="http://schemas.openxmlformats.org/markup-compatibility/2006">
      <mc:Choice xmlns:a14="http://schemas.microsoft.com/office/drawing/2010/main" Requires="a14">
        <xdr:graphicFrame macro="">
          <xdr:nvGraphicFramePr>
            <xdr:cNvPr id="11" name="Hospital">
              <a:extLst>
                <a:ext uri="{FF2B5EF4-FFF2-40B4-BE49-F238E27FC236}">
                  <a16:creationId xmlns:a16="http://schemas.microsoft.com/office/drawing/2014/main" id="{EDB50DB1-C4B8-0E4A-1483-D1237768EAF4}"/>
                </a:ext>
              </a:extLst>
            </xdr:cNvPr>
            <xdr:cNvGraphicFramePr/>
          </xdr:nvGraphicFramePr>
          <xdr:xfrm>
            <a:off x="0" y="0"/>
            <a:ext cx="0" cy="0"/>
          </xdr:xfrm>
          <a:graphic>
            <a:graphicData uri="http://schemas.microsoft.com/office/drawing/2010/slicer">
              <sle:slicer xmlns:sle="http://schemas.microsoft.com/office/drawing/2010/slicer" name="Hospital"/>
            </a:graphicData>
          </a:graphic>
        </xdr:graphicFrame>
      </mc:Choice>
      <mc:Fallback>
        <xdr:sp macro="" textlink="">
          <xdr:nvSpPr>
            <xdr:cNvPr id="0" name=""/>
            <xdr:cNvSpPr>
              <a:spLocks noTextEdit="1"/>
            </xdr:cNvSpPr>
          </xdr:nvSpPr>
          <xdr:spPr>
            <a:xfrm>
              <a:off x="6238875" y="3150870"/>
              <a:ext cx="1828800" cy="2566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561976</xdr:colOff>
      <xdr:row>65</xdr:row>
      <xdr:rowOff>138112</xdr:rowOff>
    </xdr:from>
    <xdr:to>
      <xdr:col>20</xdr:col>
      <xdr:colOff>47626</xdr:colOff>
      <xdr:row>76</xdr:row>
      <xdr:rowOff>57150</xdr:rowOff>
    </xdr:to>
    <xdr:graphicFrame macro="">
      <xdr:nvGraphicFramePr>
        <xdr:cNvPr id="12" name="Chart 11">
          <a:extLst>
            <a:ext uri="{FF2B5EF4-FFF2-40B4-BE49-F238E27FC236}">
              <a16:creationId xmlns:a16="http://schemas.microsoft.com/office/drawing/2014/main" id="{62EAC6F9-4D50-7DF6-FE2C-B8D1C30B1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623887</xdr:colOff>
      <xdr:row>83</xdr:row>
      <xdr:rowOff>114300</xdr:rowOff>
    </xdr:from>
    <xdr:to>
      <xdr:col>5</xdr:col>
      <xdr:colOff>333375</xdr:colOff>
      <xdr:row>93</xdr:row>
      <xdr:rowOff>4762</xdr:rowOff>
    </xdr:to>
    <xdr:graphicFrame macro="">
      <xdr:nvGraphicFramePr>
        <xdr:cNvPr id="13" name="Chart 12">
          <a:extLst>
            <a:ext uri="{FF2B5EF4-FFF2-40B4-BE49-F238E27FC236}">
              <a16:creationId xmlns:a16="http://schemas.microsoft.com/office/drawing/2014/main" id="{41C3907B-F2A5-7A65-7712-0C4D859A2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383870</xdr:colOff>
      <xdr:row>0</xdr:row>
      <xdr:rowOff>176142</xdr:rowOff>
    </xdr:from>
    <xdr:to>
      <xdr:col>26</xdr:col>
      <xdr:colOff>417762</xdr:colOff>
      <xdr:row>64</xdr:row>
      <xdr:rowOff>87923</xdr:rowOff>
    </xdr:to>
    <xdr:sp macro="" textlink="">
      <xdr:nvSpPr>
        <xdr:cNvPr id="2" name="Rectangle: Rounded Corners 1">
          <a:extLst>
            <a:ext uri="{FF2B5EF4-FFF2-40B4-BE49-F238E27FC236}">
              <a16:creationId xmlns:a16="http://schemas.microsoft.com/office/drawing/2014/main" id="{F1C161FE-8098-F7C5-6469-D68EC505C4AD}"/>
            </a:ext>
          </a:extLst>
        </xdr:cNvPr>
        <xdr:cNvSpPr/>
      </xdr:nvSpPr>
      <xdr:spPr>
        <a:xfrm>
          <a:off x="383870" y="176142"/>
          <a:ext cx="16035892" cy="12103781"/>
        </a:xfrm>
        <a:prstGeom prst="roundRect">
          <a:avLst>
            <a:gd name="adj" fmla="val 0"/>
          </a:avLst>
        </a:prstGeom>
        <a:solidFill>
          <a:schemeClr val="bg2"/>
        </a:solidFill>
        <a:ln w="38100">
          <a:solidFill>
            <a:schemeClr val="tx1"/>
          </a:solidFill>
        </a:ln>
        <a:effectLst/>
        <a:scene3d>
          <a:camera prst="orthographicFront">
            <a:rot lat="0" lon="0" rev="0"/>
          </a:camera>
          <a:lightRig rig="chilly" dir="t">
            <a:rot lat="0" lon="0" rev="18480000"/>
          </a:lightRig>
        </a:scene3d>
        <a:sp3d prstMaterial="clear">
          <a:bevelT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29307</xdr:colOff>
      <xdr:row>2</xdr:row>
      <xdr:rowOff>23257</xdr:rowOff>
    </xdr:from>
    <xdr:to>
      <xdr:col>26</xdr:col>
      <xdr:colOff>100262</xdr:colOff>
      <xdr:row>6</xdr:row>
      <xdr:rowOff>161301</xdr:rowOff>
    </xdr:to>
    <xdr:sp macro="" textlink="">
      <xdr:nvSpPr>
        <xdr:cNvPr id="4" name="Rectangle: Rounded Corners 3">
          <a:extLst>
            <a:ext uri="{FF2B5EF4-FFF2-40B4-BE49-F238E27FC236}">
              <a16:creationId xmlns:a16="http://schemas.microsoft.com/office/drawing/2014/main" id="{03A1F56C-089A-21E1-5DAD-294FC7C7037F}"/>
            </a:ext>
          </a:extLst>
        </xdr:cNvPr>
        <xdr:cNvSpPr/>
      </xdr:nvSpPr>
      <xdr:spPr>
        <a:xfrm>
          <a:off x="644769" y="404257"/>
          <a:ext cx="15457493" cy="900044"/>
        </a:xfrm>
        <a:prstGeom prst="roundRect">
          <a:avLst>
            <a:gd name="adj" fmla="val 0"/>
          </a:avLst>
        </a:prstGeom>
        <a:solidFill>
          <a:schemeClr val="accent6"/>
        </a:solidFill>
        <a:ln w="38100">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600" b="1">
              <a:solidFill>
                <a:schemeClr val="bg1"/>
              </a:solidFill>
            </a:rPr>
            <a:t>🏥 HEALTHCARE ANALYTICS DASHBOARD    </a:t>
          </a:r>
        </a:p>
      </xdr:txBody>
    </xdr:sp>
    <xdr:clientData/>
  </xdr:twoCellAnchor>
  <xdr:twoCellAnchor>
    <xdr:from>
      <xdr:col>1</xdr:col>
      <xdr:colOff>63539</xdr:colOff>
      <xdr:row>8</xdr:row>
      <xdr:rowOff>26759</xdr:rowOff>
    </xdr:from>
    <xdr:to>
      <xdr:col>6</xdr:col>
      <xdr:colOff>94436</xdr:colOff>
      <xdr:row>14</xdr:row>
      <xdr:rowOff>40564</xdr:rowOff>
    </xdr:to>
    <xdr:sp macro="" textlink="">
      <xdr:nvSpPr>
        <xdr:cNvPr id="5" name="Rectangle: Rounded Corners 4">
          <a:extLst>
            <a:ext uri="{FF2B5EF4-FFF2-40B4-BE49-F238E27FC236}">
              <a16:creationId xmlns:a16="http://schemas.microsoft.com/office/drawing/2014/main" id="{E91CA62D-B551-33AC-92F5-100021D356E2}"/>
            </a:ext>
          </a:extLst>
        </xdr:cNvPr>
        <xdr:cNvSpPr/>
      </xdr:nvSpPr>
      <xdr:spPr>
        <a:xfrm>
          <a:off x="679001" y="1550759"/>
          <a:ext cx="3108204" cy="1156805"/>
        </a:xfrm>
        <a:prstGeom prst="roundRect">
          <a:avLst>
            <a:gd name="adj" fmla="val 0"/>
          </a:avLst>
        </a:prstGeom>
        <a:solidFill>
          <a:schemeClr val="accent6"/>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i="0" u="none" strike="noStrike">
              <a:solidFill>
                <a:schemeClr val="bg1"/>
              </a:solidFill>
              <a:effectLst/>
              <a:latin typeface="+mn-lt"/>
              <a:ea typeface="+mn-ea"/>
              <a:cs typeface="+mn-cs"/>
            </a:rPr>
            <a:t>Total Patients </a:t>
          </a:r>
          <a:r>
            <a:rPr lang="en-US" sz="2800" b="1">
              <a:solidFill>
                <a:schemeClr val="bg1"/>
              </a:solidFill>
            </a:rPr>
            <a:t> </a:t>
          </a:r>
          <a:r>
            <a:rPr lang="en-US" sz="2800" b="1" i="0" u="none" strike="noStrike">
              <a:solidFill>
                <a:schemeClr val="bg1"/>
              </a:solidFill>
              <a:effectLst/>
              <a:latin typeface="+mn-lt"/>
              <a:ea typeface="+mn-ea"/>
              <a:cs typeface="+mn-cs"/>
            </a:rPr>
            <a:t>1000</a:t>
          </a:r>
          <a:r>
            <a:rPr lang="en-US" sz="2800" b="1">
              <a:solidFill>
                <a:schemeClr val="bg1"/>
              </a:solidFill>
            </a:rPr>
            <a:t> </a:t>
          </a:r>
        </a:p>
      </xdr:txBody>
    </xdr:sp>
    <xdr:clientData/>
  </xdr:twoCellAnchor>
  <xdr:twoCellAnchor>
    <xdr:from>
      <xdr:col>7</xdr:col>
      <xdr:colOff>59452</xdr:colOff>
      <xdr:row>15</xdr:row>
      <xdr:rowOff>181193</xdr:rowOff>
    </xdr:from>
    <xdr:to>
      <xdr:col>16</xdr:col>
      <xdr:colOff>133684</xdr:colOff>
      <xdr:row>32</xdr:row>
      <xdr:rowOff>66842</xdr:rowOff>
    </xdr:to>
    <xdr:graphicFrame macro="">
      <xdr:nvGraphicFramePr>
        <xdr:cNvPr id="6" name="Chart 5">
          <a:extLst>
            <a:ext uri="{FF2B5EF4-FFF2-40B4-BE49-F238E27FC236}">
              <a16:creationId xmlns:a16="http://schemas.microsoft.com/office/drawing/2014/main" id="{027E329F-B961-4E1E-9202-4581CAA2D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154375</xdr:colOff>
      <xdr:row>8</xdr:row>
      <xdr:rowOff>24183</xdr:rowOff>
    </xdr:from>
    <xdr:to>
      <xdr:col>13</xdr:col>
      <xdr:colOff>468923</xdr:colOff>
      <xdr:row>14</xdr:row>
      <xdr:rowOff>24182</xdr:rowOff>
    </xdr:to>
    <xdr:sp macro="" textlink="">
      <xdr:nvSpPr>
        <xdr:cNvPr id="8" name="Rectangle: Rounded Corners 7">
          <a:extLst>
            <a:ext uri="{FF2B5EF4-FFF2-40B4-BE49-F238E27FC236}">
              <a16:creationId xmlns:a16="http://schemas.microsoft.com/office/drawing/2014/main" id="{ED1C35FE-9ABF-8C41-BD2E-09965CD63D66}"/>
            </a:ext>
          </a:extLst>
        </xdr:cNvPr>
        <xdr:cNvSpPr/>
      </xdr:nvSpPr>
      <xdr:spPr>
        <a:xfrm>
          <a:off x="5078067" y="1548183"/>
          <a:ext cx="3391856" cy="1142999"/>
        </a:xfrm>
        <a:prstGeom prst="roundRect">
          <a:avLst>
            <a:gd name="adj" fmla="val 0"/>
          </a:avLst>
        </a:prstGeom>
        <a:solidFill>
          <a:schemeClr val="accent6"/>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i="0" u="none" strike="noStrike">
              <a:solidFill>
                <a:schemeClr val="bg1"/>
              </a:solidFill>
              <a:effectLst/>
              <a:latin typeface="+mn-lt"/>
              <a:ea typeface="+mn-ea"/>
              <a:cs typeface="+mn-cs"/>
            </a:rPr>
            <a:t>TOTAL REVENUE</a:t>
          </a:r>
          <a:r>
            <a:rPr lang="en-US" sz="2800" b="1">
              <a:solidFill>
                <a:schemeClr val="bg1"/>
              </a:solidFill>
            </a:rPr>
            <a:t> </a:t>
          </a:r>
          <a:r>
            <a:rPr lang="en-US" sz="2800" b="1" i="0" u="none" strike="noStrike">
              <a:solidFill>
                <a:schemeClr val="bg1"/>
              </a:solidFill>
              <a:effectLst/>
              <a:latin typeface="+mn-lt"/>
              <a:ea typeface="+mn-ea"/>
              <a:cs typeface="+mn-cs"/>
            </a:rPr>
            <a:t>26,163,414</a:t>
          </a:r>
          <a:r>
            <a:rPr lang="en-US" sz="2800" b="1">
              <a:solidFill>
                <a:schemeClr val="bg1"/>
              </a:solidFill>
            </a:rPr>
            <a:t> </a:t>
          </a:r>
        </a:p>
      </xdr:txBody>
    </xdr:sp>
    <xdr:clientData/>
  </xdr:twoCellAnchor>
  <xdr:twoCellAnchor>
    <xdr:from>
      <xdr:col>15</xdr:col>
      <xdr:colOff>224400</xdr:colOff>
      <xdr:row>8</xdr:row>
      <xdr:rowOff>9064</xdr:rowOff>
    </xdr:from>
    <xdr:to>
      <xdr:col>19</xdr:col>
      <xdr:colOff>293078</xdr:colOff>
      <xdr:row>13</xdr:row>
      <xdr:rowOff>179075</xdr:rowOff>
    </xdr:to>
    <xdr:sp macro="" textlink="">
      <xdr:nvSpPr>
        <xdr:cNvPr id="9" name="Rectangle: Rounded Corners 8">
          <a:extLst>
            <a:ext uri="{FF2B5EF4-FFF2-40B4-BE49-F238E27FC236}">
              <a16:creationId xmlns:a16="http://schemas.microsoft.com/office/drawing/2014/main" id="{4B22E1B9-7286-E1F6-B890-6C3EF04E51CF}"/>
            </a:ext>
          </a:extLst>
        </xdr:cNvPr>
        <xdr:cNvSpPr/>
      </xdr:nvSpPr>
      <xdr:spPr>
        <a:xfrm>
          <a:off x="9456323" y="1533064"/>
          <a:ext cx="2530524" cy="1122511"/>
        </a:xfrm>
        <a:prstGeom prst="roundRect">
          <a:avLst>
            <a:gd name="adj" fmla="val 0"/>
          </a:avLst>
        </a:prstGeom>
        <a:solidFill>
          <a:schemeClr val="accent6"/>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i="0" u="none" strike="noStrike">
              <a:solidFill>
                <a:schemeClr val="bg1"/>
              </a:solidFill>
              <a:effectLst/>
              <a:latin typeface="+mn-lt"/>
              <a:ea typeface="+mn-ea"/>
              <a:cs typeface="+mn-cs"/>
            </a:rPr>
            <a:t>Avg Stay Days </a:t>
          </a:r>
          <a:r>
            <a:rPr lang="en-US" sz="2800" b="1">
              <a:solidFill>
                <a:schemeClr val="bg1"/>
              </a:solidFill>
            </a:rPr>
            <a:t> </a:t>
          </a:r>
          <a:r>
            <a:rPr lang="en-US" sz="2800" b="1" i="0" u="none" strike="noStrike">
              <a:solidFill>
                <a:schemeClr val="bg1"/>
              </a:solidFill>
              <a:effectLst/>
              <a:latin typeface="+mn-lt"/>
              <a:ea typeface="+mn-ea"/>
              <a:cs typeface="+mn-cs"/>
            </a:rPr>
            <a:t>8</a:t>
          </a:r>
          <a:r>
            <a:rPr lang="en-US" sz="2800" b="1">
              <a:solidFill>
                <a:schemeClr val="bg1"/>
              </a:solidFill>
            </a:rPr>
            <a:t> </a:t>
          </a:r>
        </a:p>
      </xdr:txBody>
    </xdr:sp>
    <xdr:clientData/>
  </xdr:twoCellAnchor>
  <xdr:twoCellAnchor>
    <xdr:from>
      <xdr:col>21</xdr:col>
      <xdr:colOff>204244</xdr:colOff>
      <xdr:row>8</xdr:row>
      <xdr:rowOff>26571</xdr:rowOff>
    </xdr:from>
    <xdr:to>
      <xdr:col>26</xdr:col>
      <xdr:colOff>93808</xdr:colOff>
      <xdr:row>13</xdr:row>
      <xdr:rowOff>150811</xdr:rowOff>
    </xdr:to>
    <xdr:sp macro="" textlink="">
      <xdr:nvSpPr>
        <xdr:cNvPr id="11" name="Rectangle: Rounded Corners 10">
          <a:extLst>
            <a:ext uri="{FF2B5EF4-FFF2-40B4-BE49-F238E27FC236}">
              <a16:creationId xmlns:a16="http://schemas.microsoft.com/office/drawing/2014/main" id="{4078687A-86A5-89A9-2312-9B3756DEEDE4}"/>
            </a:ext>
          </a:extLst>
        </xdr:cNvPr>
        <xdr:cNvSpPr/>
      </xdr:nvSpPr>
      <xdr:spPr>
        <a:xfrm>
          <a:off x="13128936" y="1550571"/>
          <a:ext cx="2966872" cy="1076740"/>
        </a:xfrm>
        <a:prstGeom prst="roundRect">
          <a:avLst>
            <a:gd name="adj" fmla="val 0"/>
          </a:avLst>
        </a:prstGeom>
        <a:solidFill>
          <a:schemeClr val="accent6"/>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i="0" u="none" strike="noStrike">
              <a:solidFill>
                <a:schemeClr val="bg1"/>
              </a:solidFill>
              <a:effectLst/>
              <a:latin typeface="+mn-lt"/>
              <a:ea typeface="+mn-ea"/>
              <a:cs typeface="+mn-cs"/>
            </a:rPr>
            <a:t>Recovery Rate</a:t>
          </a:r>
          <a:r>
            <a:rPr lang="en-US" sz="2800" b="1">
              <a:solidFill>
                <a:schemeClr val="bg1"/>
              </a:solidFill>
            </a:rPr>
            <a:t> </a:t>
          </a:r>
          <a:r>
            <a:rPr lang="en-US" sz="2800" b="1" i="0" u="none" strike="noStrike">
              <a:solidFill>
                <a:schemeClr val="bg1"/>
              </a:solidFill>
              <a:effectLst/>
              <a:latin typeface="+mn-lt"/>
              <a:ea typeface="+mn-ea"/>
              <a:cs typeface="+mn-cs"/>
            </a:rPr>
            <a:t>70.30%</a:t>
          </a:r>
          <a:r>
            <a:rPr lang="en-US" sz="2800" b="1">
              <a:solidFill>
                <a:schemeClr val="bg1"/>
              </a:solidFill>
            </a:rPr>
            <a:t> </a:t>
          </a:r>
        </a:p>
      </xdr:txBody>
    </xdr:sp>
    <xdr:clientData/>
  </xdr:twoCellAnchor>
  <xdr:twoCellAnchor>
    <xdr:from>
      <xdr:col>1</xdr:col>
      <xdr:colOff>58615</xdr:colOff>
      <xdr:row>15</xdr:row>
      <xdr:rowOff>175846</xdr:rowOff>
    </xdr:from>
    <xdr:to>
      <xdr:col>6</xdr:col>
      <xdr:colOff>449293</xdr:colOff>
      <xdr:row>63</xdr:row>
      <xdr:rowOff>43962</xdr:rowOff>
    </xdr:to>
    <xdr:sp macro="" textlink="">
      <xdr:nvSpPr>
        <xdr:cNvPr id="13" name="Rectangle 12">
          <a:extLst>
            <a:ext uri="{FF2B5EF4-FFF2-40B4-BE49-F238E27FC236}">
              <a16:creationId xmlns:a16="http://schemas.microsoft.com/office/drawing/2014/main" id="{D12FDA3D-E755-D9B6-306D-6F829A4D1863}"/>
            </a:ext>
          </a:extLst>
        </xdr:cNvPr>
        <xdr:cNvSpPr/>
      </xdr:nvSpPr>
      <xdr:spPr>
        <a:xfrm>
          <a:off x="674077" y="3033346"/>
          <a:ext cx="3467985" cy="9012116"/>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100"/>
        </a:p>
      </xdr:txBody>
    </xdr:sp>
    <xdr:clientData/>
  </xdr:twoCellAnchor>
  <xdr:twoCellAnchor editAs="oneCell">
    <xdr:from>
      <xdr:col>1</xdr:col>
      <xdr:colOff>205153</xdr:colOff>
      <xdr:row>17</xdr:row>
      <xdr:rowOff>87924</xdr:rowOff>
    </xdr:from>
    <xdr:to>
      <xdr:col>6</xdr:col>
      <xdr:colOff>300789</xdr:colOff>
      <xdr:row>24</xdr:row>
      <xdr:rowOff>116974</xdr:rowOff>
    </xdr:to>
    <mc:AlternateContent xmlns:mc="http://schemas.openxmlformats.org/markup-compatibility/2006">
      <mc:Choice xmlns:a14="http://schemas.microsoft.com/office/drawing/2010/main" Requires="a14">
        <xdr:graphicFrame macro="">
          <xdr:nvGraphicFramePr>
            <xdr:cNvPr id="14" name="Year 1">
              <a:extLst>
                <a:ext uri="{FF2B5EF4-FFF2-40B4-BE49-F238E27FC236}">
                  <a16:creationId xmlns:a16="http://schemas.microsoft.com/office/drawing/2014/main" id="{81F34036-8244-4900-89E0-59ED9155CA0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20615" y="3326424"/>
              <a:ext cx="3172943" cy="136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205152</xdr:colOff>
      <xdr:row>26</xdr:row>
      <xdr:rowOff>87923</xdr:rowOff>
    </xdr:from>
    <xdr:to>
      <xdr:col>6</xdr:col>
      <xdr:colOff>278422</xdr:colOff>
      <xdr:row>32</xdr:row>
      <xdr:rowOff>100264</xdr:rowOff>
    </xdr:to>
    <mc:AlternateContent xmlns:mc="http://schemas.openxmlformats.org/markup-compatibility/2006">
      <mc:Choice xmlns:a14="http://schemas.microsoft.com/office/drawing/2010/main" Requires="a14">
        <xdr:graphicFrame macro="">
          <xdr:nvGraphicFramePr>
            <xdr:cNvPr id="15" name="Gender 2">
              <a:extLst>
                <a:ext uri="{FF2B5EF4-FFF2-40B4-BE49-F238E27FC236}">
                  <a16:creationId xmlns:a16="http://schemas.microsoft.com/office/drawing/2014/main" id="{C2785992-17E3-41E9-8E90-D796608B35D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820614" y="5040923"/>
              <a:ext cx="3150577" cy="11553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219806</xdr:colOff>
      <xdr:row>35</xdr:row>
      <xdr:rowOff>3783</xdr:rowOff>
    </xdr:from>
    <xdr:to>
      <xdr:col>6</xdr:col>
      <xdr:colOff>278422</xdr:colOff>
      <xdr:row>45</xdr:row>
      <xdr:rowOff>169628</xdr:rowOff>
    </xdr:to>
    <mc:AlternateContent xmlns:mc="http://schemas.openxmlformats.org/markup-compatibility/2006">
      <mc:Choice xmlns:a14="http://schemas.microsoft.com/office/drawing/2010/main" Requires="a14">
        <xdr:graphicFrame macro="">
          <xdr:nvGraphicFramePr>
            <xdr:cNvPr id="16" name="Hospital 1">
              <a:extLst>
                <a:ext uri="{FF2B5EF4-FFF2-40B4-BE49-F238E27FC236}">
                  <a16:creationId xmlns:a16="http://schemas.microsoft.com/office/drawing/2014/main" id="{B2A8D1C2-07D8-4D4B-A317-59AD3D05B9B5}"/>
                </a:ext>
              </a:extLst>
            </xdr:cNvPr>
            <xdr:cNvGraphicFramePr/>
          </xdr:nvGraphicFramePr>
          <xdr:xfrm>
            <a:off x="0" y="0"/>
            <a:ext cx="0" cy="0"/>
          </xdr:xfrm>
          <a:graphic>
            <a:graphicData uri="http://schemas.microsoft.com/office/drawing/2010/slicer">
              <sle:slicer xmlns:sle="http://schemas.microsoft.com/office/drawing/2010/slicer" name="Hospital 1"/>
            </a:graphicData>
          </a:graphic>
        </xdr:graphicFrame>
      </mc:Choice>
      <mc:Fallback>
        <xdr:sp macro="" textlink="">
          <xdr:nvSpPr>
            <xdr:cNvPr id="0" name=""/>
            <xdr:cNvSpPr>
              <a:spLocks noTextEdit="1"/>
            </xdr:cNvSpPr>
          </xdr:nvSpPr>
          <xdr:spPr>
            <a:xfrm>
              <a:off x="835268" y="6671283"/>
              <a:ext cx="3135923" cy="2070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227548</xdr:colOff>
      <xdr:row>48</xdr:row>
      <xdr:rowOff>21754</xdr:rowOff>
    </xdr:from>
    <xdr:to>
      <xdr:col>6</xdr:col>
      <xdr:colOff>278422</xdr:colOff>
      <xdr:row>61</xdr:row>
      <xdr:rowOff>25456</xdr:rowOff>
    </xdr:to>
    <mc:AlternateContent xmlns:mc="http://schemas.openxmlformats.org/markup-compatibility/2006">
      <mc:Choice xmlns:a14="http://schemas.microsoft.com/office/drawing/2010/main" Requires="a14">
        <xdr:graphicFrame macro="">
          <xdr:nvGraphicFramePr>
            <xdr:cNvPr id="17" name="Doctor 1">
              <a:extLst>
                <a:ext uri="{FF2B5EF4-FFF2-40B4-BE49-F238E27FC236}">
                  <a16:creationId xmlns:a16="http://schemas.microsoft.com/office/drawing/2014/main" id="{E54F9CA0-CB35-4971-8730-DD5E9515FF03}"/>
                </a:ext>
              </a:extLst>
            </xdr:cNvPr>
            <xdr:cNvGraphicFramePr/>
          </xdr:nvGraphicFramePr>
          <xdr:xfrm>
            <a:off x="0" y="0"/>
            <a:ext cx="0" cy="0"/>
          </xdr:xfrm>
          <a:graphic>
            <a:graphicData uri="http://schemas.microsoft.com/office/drawing/2010/slicer">
              <sle:slicer xmlns:sle="http://schemas.microsoft.com/office/drawing/2010/slicer" name="Doctor 1"/>
            </a:graphicData>
          </a:graphic>
        </xdr:graphicFrame>
      </mc:Choice>
      <mc:Fallback>
        <xdr:sp macro="" textlink="">
          <xdr:nvSpPr>
            <xdr:cNvPr id="0" name=""/>
            <xdr:cNvSpPr>
              <a:spLocks noTextEdit="1"/>
            </xdr:cNvSpPr>
          </xdr:nvSpPr>
          <xdr:spPr>
            <a:xfrm>
              <a:off x="843010" y="9165754"/>
              <a:ext cx="3128181" cy="24802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450712</xdr:colOff>
      <xdr:row>15</xdr:row>
      <xdr:rowOff>155575</xdr:rowOff>
    </xdr:from>
    <xdr:to>
      <xdr:col>26</xdr:col>
      <xdr:colOff>117231</xdr:colOff>
      <xdr:row>32</xdr:row>
      <xdr:rowOff>58615</xdr:rowOff>
    </xdr:to>
    <xdr:graphicFrame macro="">
      <xdr:nvGraphicFramePr>
        <xdr:cNvPr id="20" name="Chart 19">
          <a:extLst>
            <a:ext uri="{FF2B5EF4-FFF2-40B4-BE49-F238E27FC236}">
              <a16:creationId xmlns:a16="http://schemas.microsoft.com/office/drawing/2014/main" id="{1DE6E443-1B41-4E8B-A38B-9F04C811E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49659</xdr:colOff>
      <xdr:row>33</xdr:row>
      <xdr:rowOff>142722</xdr:rowOff>
    </xdr:from>
    <xdr:to>
      <xdr:col>15</xdr:col>
      <xdr:colOff>200527</xdr:colOff>
      <xdr:row>49</xdr:row>
      <xdr:rowOff>29308</xdr:rowOff>
    </xdr:to>
    <xdr:graphicFrame macro="">
      <xdr:nvGraphicFramePr>
        <xdr:cNvPr id="21" name="Chart 20">
          <a:extLst>
            <a:ext uri="{FF2B5EF4-FFF2-40B4-BE49-F238E27FC236}">
              <a16:creationId xmlns:a16="http://schemas.microsoft.com/office/drawing/2014/main" id="{6F450BAF-4458-4255-A8F1-8884F4B36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534737</xdr:colOff>
      <xdr:row>33</xdr:row>
      <xdr:rowOff>126011</xdr:rowOff>
    </xdr:from>
    <xdr:to>
      <xdr:col>26</xdr:col>
      <xdr:colOff>116973</xdr:colOff>
      <xdr:row>49</xdr:row>
      <xdr:rowOff>0</xdr:rowOff>
    </xdr:to>
    <xdr:graphicFrame macro="">
      <xdr:nvGraphicFramePr>
        <xdr:cNvPr id="22" name="Chart 21">
          <a:extLst>
            <a:ext uri="{FF2B5EF4-FFF2-40B4-BE49-F238E27FC236}">
              <a16:creationId xmlns:a16="http://schemas.microsoft.com/office/drawing/2014/main" id="{F132F687-2695-4B3B-ADAD-2C3826776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0</xdr:colOff>
      <xdr:row>50</xdr:row>
      <xdr:rowOff>42459</xdr:rowOff>
    </xdr:from>
    <xdr:to>
      <xdr:col>26</xdr:col>
      <xdr:colOff>107811</xdr:colOff>
      <xdr:row>63</xdr:row>
      <xdr:rowOff>34103</xdr:rowOff>
    </xdr:to>
    <xdr:graphicFrame macro="">
      <xdr:nvGraphicFramePr>
        <xdr:cNvPr id="23" name="Chart 22">
          <a:extLst>
            <a:ext uri="{FF2B5EF4-FFF2-40B4-BE49-F238E27FC236}">
              <a16:creationId xmlns:a16="http://schemas.microsoft.com/office/drawing/2014/main" id="{2AD8207F-3ED7-43E5-AA26-94E087151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66369</xdr:colOff>
      <xdr:row>50</xdr:row>
      <xdr:rowOff>76200</xdr:rowOff>
    </xdr:from>
    <xdr:to>
      <xdr:col>16</xdr:col>
      <xdr:colOff>317500</xdr:colOff>
      <xdr:row>63</xdr:row>
      <xdr:rowOff>33420</xdr:rowOff>
    </xdr:to>
    <xdr:graphicFrame macro="">
      <xdr:nvGraphicFramePr>
        <xdr:cNvPr id="24" name="Chart 23">
          <a:extLst>
            <a:ext uri="{FF2B5EF4-FFF2-40B4-BE49-F238E27FC236}">
              <a16:creationId xmlns:a16="http://schemas.microsoft.com/office/drawing/2014/main" id="{106CB12F-1A9F-4386-8C7A-5EA68C356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0.98388900463" createdVersion="8" refreshedVersion="8" minRefreshableVersion="3" recordCount="1000" xr:uid="{53888D83-225A-4D71-BFEC-309FBF8827FD}">
  <cacheSource type="worksheet">
    <worksheetSource name="HealthcareData"/>
  </cacheSource>
  <cacheFields count="14">
    <cacheField name="Patient_ID" numFmtId="0">
      <sharedItems containsSemiMixedTypes="0" containsString="0" containsNumber="1" containsInteger="1" minValue="1" maxValue="1000"/>
    </cacheField>
    <cacheField name="Gender" numFmtId="0">
      <sharedItems count="2">
        <s v="Male"/>
        <s v="Female"/>
      </sharedItems>
    </cacheField>
    <cacheField name="Age" numFmtId="0">
      <sharedItems containsSemiMixedTypes="0" containsString="0" containsNumber="1" containsInteger="1" minValue="1" maxValue="89"/>
    </cacheField>
    <cacheField name="Disease" numFmtId="0">
      <sharedItems count="6">
        <s v="COVID-19"/>
        <s v="Heart Disease"/>
        <s v="Diabetes"/>
        <s v="Flu"/>
        <s v="Asthma"/>
        <s v="Hypertension"/>
      </sharedItems>
    </cacheField>
    <cacheField name="Doctor" numFmtId="0">
      <sharedItems count="5">
        <s v="Dr. Sharma"/>
        <s v="Dr. Mehta"/>
        <s v="Dr. Khan"/>
        <s v="Dr. Singh"/>
        <s v="Dr. Patel"/>
      </sharedItems>
    </cacheField>
    <cacheField name="Hospital" numFmtId="0">
      <sharedItems count="4">
        <s v="City Hospital"/>
        <s v="LifeCare Center"/>
        <s v="Apollo Care"/>
        <s v="Sunrise Clinic"/>
      </sharedItems>
    </cacheField>
    <cacheField name="Admission_Date" numFmtId="14">
      <sharedItems containsSemiMixedTypes="0" containsNonDate="0" containsDate="1" containsString="0" minDate="2023-01-01T00:00:00" maxDate="2024-01-02T00:00:00"/>
    </cacheField>
    <cacheField name="Stay_Days" numFmtId="0">
      <sharedItems containsSemiMixedTypes="0" containsString="0" containsNumber="1" containsInteger="1" minValue="1" maxValue="14"/>
    </cacheField>
    <cacheField name="Treatment_Cost" numFmtId="0">
      <sharedItems containsSemiMixedTypes="0" containsString="0" containsNumber="1" containsInteger="1" minValue="2016" maxValue="49961"/>
    </cacheField>
    <cacheField name="Outcome" numFmtId="0">
      <sharedItems count="3">
        <s v="Critical"/>
        <s v="Recovered"/>
        <s v="Under Treatment"/>
      </sharedItems>
    </cacheField>
    <cacheField name="Year" numFmtId="0">
      <sharedItems containsSemiMixedTypes="0" containsString="0" containsNumber="1" containsInteger="1" minValue="2023" maxValue="2024" count="2">
        <n v="2023"/>
        <n v="2024"/>
      </sharedItems>
    </cacheField>
    <cacheField name="Month_Name" numFmtId="0">
      <sharedItems count="12">
        <s v="Nov"/>
        <s v="Dec"/>
        <s v="Apr"/>
        <s v="Jul"/>
        <s v="Jun"/>
        <s v="Oct"/>
        <s v="May"/>
        <s v="Mar"/>
        <s v="Sep"/>
        <s v="Feb"/>
        <s v="Aug"/>
        <s v="Jan"/>
      </sharedItems>
    </cacheField>
    <cacheField name="Age_Group" numFmtId="0">
      <sharedItems/>
    </cacheField>
    <cacheField name="Month_Number" numFmtId="0">
      <sharedItems containsSemiMixedTypes="0" containsString="0" containsNumber="1" containsInteger="1" minValue="1" maxValue="12" count="12">
        <n v="11"/>
        <n v="12"/>
        <n v="4"/>
        <n v="7"/>
        <n v="6"/>
        <n v="10"/>
        <n v="5"/>
        <n v="3"/>
        <n v="9"/>
        <n v="2"/>
        <n v="8"/>
        <n v="1"/>
      </sharedItems>
    </cacheField>
  </cacheFields>
  <extLst>
    <ext xmlns:x14="http://schemas.microsoft.com/office/spreadsheetml/2009/9/main" uri="{725AE2AE-9491-48be-B2B4-4EB974FC3084}">
      <x14:pivotCacheDefinition pivotCacheId="1744160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63"/>
    <x v="0"/>
    <x v="0"/>
    <x v="0"/>
    <d v="2023-11-27T00:00:00"/>
    <n v="8"/>
    <n v="22566"/>
    <x v="0"/>
    <x v="0"/>
    <x v="0"/>
    <s v="Senior"/>
    <x v="0"/>
  </r>
  <r>
    <n v="2"/>
    <x v="1"/>
    <n v="17"/>
    <x v="1"/>
    <x v="1"/>
    <x v="1"/>
    <d v="2023-11-09T00:00:00"/>
    <n v="4"/>
    <n v="4230"/>
    <x v="1"/>
    <x v="0"/>
    <x v="0"/>
    <s v="Child"/>
    <x v="0"/>
  </r>
  <r>
    <n v="3"/>
    <x v="0"/>
    <n v="73"/>
    <x v="1"/>
    <x v="1"/>
    <x v="1"/>
    <d v="2023-12-12T00:00:00"/>
    <n v="12"/>
    <n v="8511"/>
    <x v="1"/>
    <x v="0"/>
    <x v="1"/>
    <s v="Senior"/>
    <x v="1"/>
  </r>
  <r>
    <n v="4"/>
    <x v="0"/>
    <n v="33"/>
    <x v="1"/>
    <x v="2"/>
    <x v="2"/>
    <d v="2023-11-13T00:00:00"/>
    <n v="1"/>
    <n v="44229"/>
    <x v="1"/>
    <x v="0"/>
    <x v="0"/>
    <s v="Adult"/>
    <x v="0"/>
  </r>
  <r>
    <n v="5"/>
    <x v="0"/>
    <n v="84"/>
    <x v="2"/>
    <x v="3"/>
    <x v="1"/>
    <d v="2023-12-27T00:00:00"/>
    <n v="7"/>
    <n v="28177"/>
    <x v="1"/>
    <x v="0"/>
    <x v="1"/>
    <s v="Senior"/>
    <x v="1"/>
  </r>
  <r>
    <n v="6"/>
    <x v="1"/>
    <n v="77"/>
    <x v="0"/>
    <x v="0"/>
    <x v="3"/>
    <d v="2023-04-07T00:00:00"/>
    <n v="3"/>
    <n v="6765"/>
    <x v="1"/>
    <x v="0"/>
    <x v="2"/>
    <s v="Senior"/>
    <x v="2"/>
  </r>
  <r>
    <n v="7"/>
    <x v="0"/>
    <n v="29"/>
    <x v="3"/>
    <x v="2"/>
    <x v="2"/>
    <d v="2023-12-15T00:00:00"/>
    <n v="14"/>
    <n v="22354"/>
    <x v="1"/>
    <x v="0"/>
    <x v="1"/>
    <s v="Adult"/>
    <x v="1"/>
  </r>
  <r>
    <n v="8"/>
    <x v="0"/>
    <n v="13"/>
    <x v="3"/>
    <x v="4"/>
    <x v="1"/>
    <d v="2023-07-07T00:00:00"/>
    <n v="6"/>
    <n v="25929"/>
    <x v="1"/>
    <x v="0"/>
    <x v="3"/>
    <s v="Child"/>
    <x v="3"/>
  </r>
  <r>
    <n v="9"/>
    <x v="0"/>
    <n v="46"/>
    <x v="4"/>
    <x v="4"/>
    <x v="3"/>
    <d v="2023-12-13T00:00:00"/>
    <n v="2"/>
    <n v="30820"/>
    <x v="1"/>
    <x v="0"/>
    <x v="1"/>
    <s v="Middle Age"/>
    <x v="1"/>
  </r>
  <r>
    <n v="10"/>
    <x v="1"/>
    <n v="35"/>
    <x v="4"/>
    <x v="0"/>
    <x v="1"/>
    <d v="2023-12-27T00:00:00"/>
    <n v="9"/>
    <n v="48040"/>
    <x v="1"/>
    <x v="0"/>
    <x v="1"/>
    <s v="Adult"/>
    <x v="1"/>
  </r>
  <r>
    <n v="11"/>
    <x v="0"/>
    <n v="6"/>
    <x v="4"/>
    <x v="3"/>
    <x v="1"/>
    <d v="2023-12-26T00:00:00"/>
    <n v="1"/>
    <n v="31523"/>
    <x v="2"/>
    <x v="0"/>
    <x v="1"/>
    <s v="Child"/>
    <x v="1"/>
  </r>
  <r>
    <n v="12"/>
    <x v="0"/>
    <n v="82"/>
    <x v="1"/>
    <x v="2"/>
    <x v="0"/>
    <d v="2023-06-16T00:00:00"/>
    <n v="6"/>
    <n v="7552"/>
    <x v="1"/>
    <x v="0"/>
    <x v="4"/>
    <s v="Senior"/>
    <x v="4"/>
  </r>
  <r>
    <n v="13"/>
    <x v="0"/>
    <n v="69"/>
    <x v="3"/>
    <x v="1"/>
    <x v="1"/>
    <d v="2023-10-03T00:00:00"/>
    <n v="6"/>
    <n v="2627"/>
    <x v="1"/>
    <x v="0"/>
    <x v="5"/>
    <s v="Senior"/>
    <x v="5"/>
  </r>
  <r>
    <n v="14"/>
    <x v="0"/>
    <n v="47"/>
    <x v="0"/>
    <x v="0"/>
    <x v="1"/>
    <d v="2023-12-30T00:00:00"/>
    <n v="5"/>
    <n v="13989"/>
    <x v="1"/>
    <x v="0"/>
    <x v="1"/>
    <s v="Middle Age"/>
    <x v="1"/>
  </r>
  <r>
    <n v="15"/>
    <x v="1"/>
    <n v="25"/>
    <x v="1"/>
    <x v="3"/>
    <x v="3"/>
    <d v="2023-05-04T00:00:00"/>
    <n v="13"/>
    <n v="15780"/>
    <x v="2"/>
    <x v="0"/>
    <x v="6"/>
    <s v="Adult"/>
    <x v="6"/>
  </r>
  <r>
    <n v="16"/>
    <x v="0"/>
    <n v="66"/>
    <x v="2"/>
    <x v="1"/>
    <x v="3"/>
    <d v="2023-03-24T00:00:00"/>
    <n v="5"/>
    <n v="8589"/>
    <x v="1"/>
    <x v="0"/>
    <x v="7"/>
    <s v="Senior"/>
    <x v="7"/>
  </r>
  <r>
    <n v="17"/>
    <x v="1"/>
    <n v="10"/>
    <x v="4"/>
    <x v="4"/>
    <x v="0"/>
    <d v="2023-09-14T00:00:00"/>
    <n v="1"/>
    <n v="36812"/>
    <x v="1"/>
    <x v="0"/>
    <x v="8"/>
    <s v="Child"/>
    <x v="8"/>
  </r>
  <r>
    <n v="18"/>
    <x v="1"/>
    <n v="56"/>
    <x v="1"/>
    <x v="4"/>
    <x v="1"/>
    <d v="2023-07-28T00:00:00"/>
    <n v="10"/>
    <n v="30128"/>
    <x v="0"/>
    <x v="0"/>
    <x v="3"/>
    <s v="Middle Age"/>
    <x v="3"/>
  </r>
  <r>
    <n v="19"/>
    <x v="1"/>
    <n v="30"/>
    <x v="1"/>
    <x v="1"/>
    <x v="0"/>
    <d v="2023-09-10T00:00:00"/>
    <n v="12"/>
    <n v="47939"/>
    <x v="2"/>
    <x v="0"/>
    <x v="8"/>
    <s v="Adult"/>
    <x v="8"/>
  </r>
  <r>
    <n v="20"/>
    <x v="0"/>
    <n v="5"/>
    <x v="2"/>
    <x v="0"/>
    <x v="1"/>
    <d v="2023-10-12T00:00:00"/>
    <n v="5"/>
    <n v="40652"/>
    <x v="1"/>
    <x v="0"/>
    <x v="5"/>
    <s v="Child"/>
    <x v="5"/>
  </r>
  <r>
    <n v="21"/>
    <x v="1"/>
    <n v="33"/>
    <x v="5"/>
    <x v="4"/>
    <x v="2"/>
    <d v="2023-12-21T00:00:00"/>
    <n v="2"/>
    <n v="29790"/>
    <x v="1"/>
    <x v="0"/>
    <x v="1"/>
    <s v="Adult"/>
    <x v="1"/>
  </r>
  <r>
    <n v="22"/>
    <x v="0"/>
    <n v="65"/>
    <x v="3"/>
    <x v="2"/>
    <x v="2"/>
    <d v="2023-03-11T00:00:00"/>
    <n v="7"/>
    <n v="42953"/>
    <x v="2"/>
    <x v="0"/>
    <x v="7"/>
    <s v="Senior"/>
    <x v="7"/>
  </r>
  <r>
    <n v="23"/>
    <x v="1"/>
    <n v="18"/>
    <x v="0"/>
    <x v="1"/>
    <x v="0"/>
    <d v="2023-06-14T00:00:00"/>
    <n v="3"/>
    <n v="2249"/>
    <x v="1"/>
    <x v="0"/>
    <x v="4"/>
    <s v="Adult"/>
    <x v="4"/>
  </r>
  <r>
    <n v="24"/>
    <x v="1"/>
    <n v="49"/>
    <x v="5"/>
    <x v="1"/>
    <x v="0"/>
    <d v="2023-04-29T00:00:00"/>
    <n v="13"/>
    <n v="21309"/>
    <x v="1"/>
    <x v="0"/>
    <x v="2"/>
    <s v="Middle Age"/>
    <x v="2"/>
  </r>
  <r>
    <n v="25"/>
    <x v="1"/>
    <n v="11"/>
    <x v="4"/>
    <x v="4"/>
    <x v="0"/>
    <d v="2023-03-25T00:00:00"/>
    <n v="4"/>
    <n v="27901"/>
    <x v="1"/>
    <x v="0"/>
    <x v="7"/>
    <s v="Child"/>
    <x v="7"/>
  </r>
  <r>
    <n v="26"/>
    <x v="1"/>
    <n v="85"/>
    <x v="1"/>
    <x v="0"/>
    <x v="3"/>
    <d v="2023-03-26T00:00:00"/>
    <n v="3"/>
    <n v="25576"/>
    <x v="2"/>
    <x v="0"/>
    <x v="7"/>
    <s v="Senior"/>
    <x v="7"/>
  </r>
  <r>
    <n v="27"/>
    <x v="1"/>
    <n v="26"/>
    <x v="2"/>
    <x v="2"/>
    <x v="3"/>
    <d v="2023-07-17T00:00:00"/>
    <n v="3"/>
    <n v="33508"/>
    <x v="1"/>
    <x v="0"/>
    <x v="3"/>
    <s v="Adult"/>
    <x v="3"/>
  </r>
  <r>
    <n v="28"/>
    <x v="1"/>
    <n v="63"/>
    <x v="2"/>
    <x v="0"/>
    <x v="3"/>
    <d v="2023-06-29T00:00:00"/>
    <n v="4"/>
    <n v="11175"/>
    <x v="2"/>
    <x v="0"/>
    <x v="4"/>
    <s v="Senior"/>
    <x v="4"/>
  </r>
  <r>
    <n v="29"/>
    <x v="1"/>
    <n v="89"/>
    <x v="3"/>
    <x v="3"/>
    <x v="0"/>
    <d v="2023-02-07T00:00:00"/>
    <n v="5"/>
    <n v="27464"/>
    <x v="1"/>
    <x v="0"/>
    <x v="9"/>
    <s v="Senior"/>
    <x v="9"/>
  </r>
  <r>
    <n v="30"/>
    <x v="1"/>
    <n v="86"/>
    <x v="5"/>
    <x v="3"/>
    <x v="1"/>
    <d v="2023-09-10T00:00:00"/>
    <n v="1"/>
    <n v="18260"/>
    <x v="1"/>
    <x v="0"/>
    <x v="8"/>
    <s v="Senior"/>
    <x v="8"/>
  </r>
  <r>
    <n v="31"/>
    <x v="0"/>
    <n v="59"/>
    <x v="3"/>
    <x v="4"/>
    <x v="2"/>
    <d v="2023-08-08T00:00:00"/>
    <n v="4"/>
    <n v="37440"/>
    <x v="1"/>
    <x v="0"/>
    <x v="10"/>
    <s v="Middle Age"/>
    <x v="10"/>
  </r>
  <r>
    <n v="32"/>
    <x v="0"/>
    <n v="27"/>
    <x v="1"/>
    <x v="4"/>
    <x v="0"/>
    <d v="2023-01-03T00:00:00"/>
    <n v="12"/>
    <n v="31546"/>
    <x v="1"/>
    <x v="0"/>
    <x v="11"/>
    <s v="Adult"/>
    <x v="11"/>
  </r>
  <r>
    <n v="33"/>
    <x v="1"/>
    <n v="49"/>
    <x v="3"/>
    <x v="4"/>
    <x v="3"/>
    <d v="2023-12-04T00:00:00"/>
    <n v="12"/>
    <n v="42047"/>
    <x v="0"/>
    <x v="0"/>
    <x v="1"/>
    <s v="Middle Age"/>
    <x v="1"/>
  </r>
  <r>
    <n v="34"/>
    <x v="1"/>
    <n v="77"/>
    <x v="0"/>
    <x v="3"/>
    <x v="3"/>
    <d v="2023-02-19T00:00:00"/>
    <n v="11"/>
    <n v="43430"/>
    <x v="2"/>
    <x v="0"/>
    <x v="9"/>
    <s v="Senior"/>
    <x v="9"/>
  </r>
  <r>
    <n v="35"/>
    <x v="1"/>
    <n v="33"/>
    <x v="2"/>
    <x v="0"/>
    <x v="0"/>
    <d v="2023-07-27T00:00:00"/>
    <n v="8"/>
    <n v="3987"/>
    <x v="1"/>
    <x v="0"/>
    <x v="3"/>
    <s v="Adult"/>
    <x v="3"/>
  </r>
  <r>
    <n v="36"/>
    <x v="0"/>
    <n v="1"/>
    <x v="2"/>
    <x v="0"/>
    <x v="0"/>
    <d v="2023-07-25T00:00:00"/>
    <n v="10"/>
    <n v="27105"/>
    <x v="1"/>
    <x v="0"/>
    <x v="3"/>
    <s v="Child"/>
    <x v="3"/>
  </r>
  <r>
    <n v="37"/>
    <x v="1"/>
    <n v="21"/>
    <x v="4"/>
    <x v="4"/>
    <x v="3"/>
    <d v="2023-10-25T00:00:00"/>
    <n v="7"/>
    <n v="14948"/>
    <x v="1"/>
    <x v="0"/>
    <x v="5"/>
    <s v="Adult"/>
    <x v="5"/>
  </r>
  <r>
    <n v="38"/>
    <x v="0"/>
    <n v="55"/>
    <x v="4"/>
    <x v="2"/>
    <x v="1"/>
    <d v="2023-06-19T00:00:00"/>
    <n v="9"/>
    <n v="15026"/>
    <x v="1"/>
    <x v="0"/>
    <x v="4"/>
    <s v="Middle Age"/>
    <x v="4"/>
  </r>
  <r>
    <n v="39"/>
    <x v="0"/>
    <n v="6"/>
    <x v="1"/>
    <x v="0"/>
    <x v="3"/>
    <d v="2023-12-30T00:00:00"/>
    <n v="5"/>
    <n v="4773"/>
    <x v="1"/>
    <x v="0"/>
    <x v="1"/>
    <s v="Child"/>
    <x v="1"/>
  </r>
  <r>
    <n v="40"/>
    <x v="0"/>
    <n v="81"/>
    <x v="0"/>
    <x v="3"/>
    <x v="3"/>
    <d v="2023-02-01T00:00:00"/>
    <n v="13"/>
    <n v="47927"/>
    <x v="1"/>
    <x v="0"/>
    <x v="9"/>
    <s v="Senior"/>
    <x v="9"/>
  </r>
  <r>
    <n v="41"/>
    <x v="0"/>
    <n v="69"/>
    <x v="5"/>
    <x v="1"/>
    <x v="0"/>
    <d v="2023-10-08T00:00:00"/>
    <n v="10"/>
    <n v="11878"/>
    <x v="1"/>
    <x v="0"/>
    <x v="5"/>
    <s v="Senior"/>
    <x v="5"/>
  </r>
  <r>
    <n v="42"/>
    <x v="0"/>
    <n v="5"/>
    <x v="3"/>
    <x v="1"/>
    <x v="1"/>
    <d v="2023-08-23T00:00:00"/>
    <n v="4"/>
    <n v="44946"/>
    <x v="2"/>
    <x v="0"/>
    <x v="10"/>
    <s v="Child"/>
    <x v="10"/>
  </r>
  <r>
    <n v="43"/>
    <x v="1"/>
    <n v="3"/>
    <x v="1"/>
    <x v="1"/>
    <x v="3"/>
    <d v="2023-02-04T00:00:00"/>
    <n v="8"/>
    <n v="12377"/>
    <x v="0"/>
    <x v="0"/>
    <x v="9"/>
    <s v="Child"/>
    <x v="9"/>
  </r>
  <r>
    <n v="44"/>
    <x v="1"/>
    <n v="53"/>
    <x v="4"/>
    <x v="2"/>
    <x v="3"/>
    <d v="2023-05-29T00:00:00"/>
    <n v="9"/>
    <n v="9347"/>
    <x v="1"/>
    <x v="0"/>
    <x v="6"/>
    <s v="Middle Age"/>
    <x v="6"/>
  </r>
  <r>
    <n v="45"/>
    <x v="1"/>
    <n v="23"/>
    <x v="3"/>
    <x v="4"/>
    <x v="2"/>
    <d v="2023-08-17T00:00:00"/>
    <n v="13"/>
    <n v="35776"/>
    <x v="2"/>
    <x v="0"/>
    <x v="10"/>
    <s v="Adult"/>
    <x v="10"/>
  </r>
  <r>
    <n v="46"/>
    <x v="1"/>
    <n v="53"/>
    <x v="4"/>
    <x v="3"/>
    <x v="0"/>
    <d v="2023-07-15T00:00:00"/>
    <n v="7"/>
    <n v="5783"/>
    <x v="1"/>
    <x v="0"/>
    <x v="3"/>
    <s v="Middle Age"/>
    <x v="3"/>
  </r>
  <r>
    <n v="47"/>
    <x v="1"/>
    <n v="37"/>
    <x v="3"/>
    <x v="2"/>
    <x v="2"/>
    <d v="2023-10-14T00:00:00"/>
    <n v="14"/>
    <n v="6298"/>
    <x v="1"/>
    <x v="0"/>
    <x v="5"/>
    <s v="Adult"/>
    <x v="5"/>
  </r>
  <r>
    <n v="48"/>
    <x v="0"/>
    <n v="74"/>
    <x v="5"/>
    <x v="3"/>
    <x v="2"/>
    <d v="2023-08-22T00:00:00"/>
    <n v="7"/>
    <n v="6668"/>
    <x v="1"/>
    <x v="0"/>
    <x v="10"/>
    <s v="Senior"/>
    <x v="10"/>
  </r>
  <r>
    <n v="49"/>
    <x v="1"/>
    <n v="74"/>
    <x v="1"/>
    <x v="3"/>
    <x v="3"/>
    <d v="2023-11-17T00:00:00"/>
    <n v="5"/>
    <n v="22671"/>
    <x v="1"/>
    <x v="0"/>
    <x v="0"/>
    <s v="Senior"/>
    <x v="0"/>
  </r>
  <r>
    <n v="50"/>
    <x v="1"/>
    <n v="83"/>
    <x v="3"/>
    <x v="4"/>
    <x v="0"/>
    <d v="2023-10-22T00:00:00"/>
    <n v="4"/>
    <n v="36820"/>
    <x v="1"/>
    <x v="0"/>
    <x v="5"/>
    <s v="Senior"/>
    <x v="5"/>
  </r>
  <r>
    <n v="51"/>
    <x v="0"/>
    <n v="17"/>
    <x v="0"/>
    <x v="1"/>
    <x v="1"/>
    <d v="2023-07-10T00:00:00"/>
    <n v="14"/>
    <n v="36484"/>
    <x v="1"/>
    <x v="0"/>
    <x v="3"/>
    <s v="Child"/>
    <x v="3"/>
  </r>
  <r>
    <n v="52"/>
    <x v="1"/>
    <n v="85"/>
    <x v="2"/>
    <x v="4"/>
    <x v="3"/>
    <d v="2023-07-05T00:00:00"/>
    <n v="10"/>
    <n v="35078"/>
    <x v="2"/>
    <x v="0"/>
    <x v="3"/>
    <s v="Senior"/>
    <x v="3"/>
  </r>
  <r>
    <n v="53"/>
    <x v="0"/>
    <n v="78"/>
    <x v="0"/>
    <x v="2"/>
    <x v="1"/>
    <d v="2023-03-13T00:00:00"/>
    <n v="1"/>
    <n v="49159"/>
    <x v="2"/>
    <x v="0"/>
    <x v="7"/>
    <s v="Senior"/>
    <x v="7"/>
  </r>
  <r>
    <n v="54"/>
    <x v="1"/>
    <n v="73"/>
    <x v="0"/>
    <x v="2"/>
    <x v="1"/>
    <d v="2023-11-21T00:00:00"/>
    <n v="10"/>
    <n v="22922"/>
    <x v="1"/>
    <x v="0"/>
    <x v="0"/>
    <s v="Senior"/>
    <x v="0"/>
  </r>
  <r>
    <n v="55"/>
    <x v="0"/>
    <n v="1"/>
    <x v="2"/>
    <x v="2"/>
    <x v="0"/>
    <d v="2023-03-08T00:00:00"/>
    <n v="10"/>
    <n v="36028"/>
    <x v="0"/>
    <x v="0"/>
    <x v="7"/>
    <s v="Child"/>
    <x v="7"/>
  </r>
  <r>
    <n v="56"/>
    <x v="1"/>
    <n v="51"/>
    <x v="0"/>
    <x v="4"/>
    <x v="2"/>
    <d v="2023-08-12T00:00:00"/>
    <n v="7"/>
    <n v="47925"/>
    <x v="1"/>
    <x v="0"/>
    <x v="10"/>
    <s v="Middle Age"/>
    <x v="10"/>
  </r>
  <r>
    <n v="57"/>
    <x v="1"/>
    <n v="45"/>
    <x v="3"/>
    <x v="3"/>
    <x v="0"/>
    <d v="2023-09-19T00:00:00"/>
    <n v="1"/>
    <n v="22316"/>
    <x v="1"/>
    <x v="0"/>
    <x v="8"/>
    <s v="Middle Age"/>
    <x v="8"/>
  </r>
  <r>
    <n v="58"/>
    <x v="0"/>
    <n v="77"/>
    <x v="3"/>
    <x v="3"/>
    <x v="1"/>
    <d v="2023-12-25T00:00:00"/>
    <n v="1"/>
    <n v="13460"/>
    <x v="1"/>
    <x v="0"/>
    <x v="1"/>
    <s v="Senior"/>
    <x v="1"/>
  </r>
  <r>
    <n v="59"/>
    <x v="0"/>
    <n v="4"/>
    <x v="3"/>
    <x v="0"/>
    <x v="3"/>
    <d v="2023-06-03T00:00:00"/>
    <n v="5"/>
    <n v="18968"/>
    <x v="1"/>
    <x v="0"/>
    <x v="4"/>
    <s v="Child"/>
    <x v="4"/>
  </r>
  <r>
    <n v="60"/>
    <x v="0"/>
    <n v="62"/>
    <x v="2"/>
    <x v="2"/>
    <x v="1"/>
    <d v="2023-09-14T00:00:00"/>
    <n v="13"/>
    <n v="32266"/>
    <x v="1"/>
    <x v="0"/>
    <x v="8"/>
    <s v="Senior"/>
    <x v="8"/>
  </r>
  <r>
    <n v="61"/>
    <x v="0"/>
    <n v="65"/>
    <x v="0"/>
    <x v="3"/>
    <x v="3"/>
    <d v="2023-01-28T00:00:00"/>
    <n v="9"/>
    <n v="32209"/>
    <x v="1"/>
    <x v="0"/>
    <x v="11"/>
    <s v="Senior"/>
    <x v="11"/>
  </r>
  <r>
    <n v="62"/>
    <x v="0"/>
    <n v="32"/>
    <x v="2"/>
    <x v="0"/>
    <x v="3"/>
    <d v="2023-12-04T00:00:00"/>
    <n v="6"/>
    <n v="26000"/>
    <x v="1"/>
    <x v="0"/>
    <x v="1"/>
    <s v="Adult"/>
    <x v="1"/>
  </r>
  <r>
    <n v="63"/>
    <x v="0"/>
    <n v="34"/>
    <x v="3"/>
    <x v="3"/>
    <x v="0"/>
    <d v="2023-01-21T00:00:00"/>
    <n v="3"/>
    <n v="16011"/>
    <x v="2"/>
    <x v="0"/>
    <x v="11"/>
    <s v="Adult"/>
    <x v="11"/>
  </r>
  <r>
    <n v="64"/>
    <x v="0"/>
    <n v="72"/>
    <x v="0"/>
    <x v="2"/>
    <x v="1"/>
    <d v="2023-09-28T00:00:00"/>
    <n v="13"/>
    <n v="4866"/>
    <x v="1"/>
    <x v="0"/>
    <x v="8"/>
    <s v="Senior"/>
    <x v="8"/>
  </r>
  <r>
    <n v="65"/>
    <x v="0"/>
    <n v="39"/>
    <x v="0"/>
    <x v="1"/>
    <x v="2"/>
    <d v="2023-08-13T00:00:00"/>
    <n v="3"/>
    <n v="49133"/>
    <x v="1"/>
    <x v="0"/>
    <x v="10"/>
    <s v="Adult"/>
    <x v="10"/>
  </r>
  <r>
    <n v="66"/>
    <x v="1"/>
    <n v="26"/>
    <x v="4"/>
    <x v="2"/>
    <x v="1"/>
    <d v="2023-05-23T00:00:00"/>
    <n v="7"/>
    <n v="7898"/>
    <x v="1"/>
    <x v="0"/>
    <x v="6"/>
    <s v="Adult"/>
    <x v="6"/>
  </r>
  <r>
    <n v="67"/>
    <x v="1"/>
    <n v="34"/>
    <x v="4"/>
    <x v="4"/>
    <x v="1"/>
    <d v="2023-11-23T00:00:00"/>
    <n v="6"/>
    <n v="20395"/>
    <x v="1"/>
    <x v="0"/>
    <x v="0"/>
    <s v="Adult"/>
    <x v="0"/>
  </r>
  <r>
    <n v="68"/>
    <x v="0"/>
    <n v="54"/>
    <x v="5"/>
    <x v="3"/>
    <x v="2"/>
    <d v="2023-04-30T00:00:00"/>
    <n v="9"/>
    <n v="41019"/>
    <x v="1"/>
    <x v="0"/>
    <x v="2"/>
    <s v="Middle Age"/>
    <x v="2"/>
  </r>
  <r>
    <n v="69"/>
    <x v="1"/>
    <n v="3"/>
    <x v="1"/>
    <x v="3"/>
    <x v="0"/>
    <d v="2023-06-13T00:00:00"/>
    <n v="6"/>
    <n v="39707"/>
    <x v="2"/>
    <x v="0"/>
    <x v="4"/>
    <s v="Child"/>
    <x v="4"/>
  </r>
  <r>
    <n v="70"/>
    <x v="1"/>
    <n v="50"/>
    <x v="4"/>
    <x v="4"/>
    <x v="1"/>
    <d v="2023-05-01T00:00:00"/>
    <n v="5"/>
    <n v="6006"/>
    <x v="1"/>
    <x v="0"/>
    <x v="6"/>
    <s v="Middle Age"/>
    <x v="6"/>
  </r>
  <r>
    <n v="71"/>
    <x v="1"/>
    <n v="12"/>
    <x v="2"/>
    <x v="4"/>
    <x v="1"/>
    <d v="2023-01-31T00:00:00"/>
    <n v="10"/>
    <n v="36393"/>
    <x v="1"/>
    <x v="0"/>
    <x v="11"/>
    <s v="Child"/>
    <x v="11"/>
  </r>
  <r>
    <n v="72"/>
    <x v="1"/>
    <n v="65"/>
    <x v="4"/>
    <x v="1"/>
    <x v="3"/>
    <d v="2023-12-06T00:00:00"/>
    <n v="7"/>
    <n v="12956"/>
    <x v="1"/>
    <x v="0"/>
    <x v="1"/>
    <s v="Senior"/>
    <x v="1"/>
  </r>
  <r>
    <n v="73"/>
    <x v="0"/>
    <n v="54"/>
    <x v="5"/>
    <x v="3"/>
    <x v="1"/>
    <d v="2023-04-12T00:00:00"/>
    <n v="1"/>
    <n v="32663"/>
    <x v="1"/>
    <x v="0"/>
    <x v="2"/>
    <s v="Middle Age"/>
    <x v="2"/>
  </r>
  <r>
    <n v="74"/>
    <x v="1"/>
    <n v="5"/>
    <x v="0"/>
    <x v="3"/>
    <x v="2"/>
    <d v="2023-01-24T00:00:00"/>
    <n v="12"/>
    <n v="8078"/>
    <x v="1"/>
    <x v="0"/>
    <x v="11"/>
    <s v="Child"/>
    <x v="11"/>
  </r>
  <r>
    <n v="75"/>
    <x v="0"/>
    <n v="57"/>
    <x v="5"/>
    <x v="1"/>
    <x v="3"/>
    <d v="2023-01-06T00:00:00"/>
    <n v="7"/>
    <n v="31631"/>
    <x v="1"/>
    <x v="0"/>
    <x v="11"/>
    <s v="Middle Age"/>
    <x v="11"/>
  </r>
  <r>
    <n v="76"/>
    <x v="1"/>
    <n v="17"/>
    <x v="0"/>
    <x v="0"/>
    <x v="0"/>
    <d v="2023-12-13T00:00:00"/>
    <n v="3"/>
    <n v="32140"/>
    <x v="0"/>
    <x v="0"/>
    <x v="1"/>
    <s v="Child"/>
    <x v="1"/>
  </r>
  <r>
    <n v="77"/>
    <x v="1"/>
    <n v="47"/>
    <x v="0"/>
    <x v="1"/>
    <x v="3"/>
    <d v="2023-02-21T00:00:00"/>
    <n v="14"/>
    <n v="43691"/>
    <x v="1"/>
    <x v="0"/>
    <x v="9"/>
    <s v="Middle Age"/>
    <x v="9"/>
  </r>
  <r>
    <n v="78"/>
    <x v="1"/>
    <n v="23"/>
    <x v="1"/>
    <x v="2"/>
    <x v="2"/>
    <d v="2023-06-20T00:00:00"/>
    <n v="9"/>
    <n v="5961"/>
    <x v="1"/>
    <x v="0"/>
    <x v="4"/>
    <s v="Adult"/>
    <x v="4"/>
  </r>
  <r>
    <n v="79"/>
    <x v="0"/>
    <n v="79"/>
    <x v="4"/>
    <x v="3"/>
    <x v="2"/>
    <d v="2023-01-27T00:00:00"/>
    <n v="6"/>
    <n v="31277"/>
    <x v="1"/>
    <x v="0"/>
    <x v="11"/>
    <s v="Senior"/>
    <x v="11"/>
  </r>
  <r>
    <n v="80"/>
    <x v="1"/>
    <n v="85"/>
    <x v="2"/>
    <x v="4"/>
    <x v="3"/>
    <d v="2023-06-25T00:00:00"/>
    <n v="9"/>
    <n v="43574"/>
    <x v="1"/>
    <x v="0"/>
    <x v="4"/>
    <s v="Senior"/>
    <x v="4"/>
  </r>
  <r>
    <n v="81"/>
    <x v="0"/>
    <n v="14"/>
    <x v="2"/>
    <x v="2"/>
    <x v="0"/>
    <d v="2023-04-21T00:00:00"/>
    <n v="13"/>
    <n v="33417"/>
    <x v="1"/>
    <x v="0"/>
    <x v="2"/>
    <s v="Child"/>
    <x v="2"/>
  </r>
  <r>
    <n v="82"/>
    <x v="1"/>
    <n v="66"/>
    <x v="3"/>
    <x v="3"/>
    <x v="3"/>
    <d v="2023-09-27T00:00:00"/>
    <n v="5"/>
    <n v="24484"/>
    <x v="0"/>
    <x v="0"/>
    <x v="8"/>
    <s v="Senior"/>
    <x v="8"/>
  </r>
  <r>
    <n v="83"/>
    <x v="0"/>
    <n v="75"/>
    <x v="0"/>
    <x v="1"/>
    <x v="0"/>
    <d v="2023-03-03T00:00:00"/>
    <n v="7"/>
    <n v="20103"/>
    <x v="1"/>
    <x v="0"/>
    <x v="7"/>
    <s v="Senior"/>
    <x v="7"/>
  </r>
  <r>
    <n v="84"/>
    <x v="1"/>
    <n v="51"/>
    <x v="2"/>
    <x v="2"/>
    <x v="3"/>
    <d v="2023-06-02T00:00:00"/>
    <n v="13"/>
    <n v="31345"/>
    <x v="1"/>
    <x v="0"/>
    <x v="4"/>
    <s v="Middle Age"/>
    <x v="4"/>
  </r>
  <r>
    <n v="85"/>
    <x v="0"/>
    <n v="38"/>
    <x v="1"/>
    <x v="3"/>
    <x v="2"/>
    <d v="2023-10-07T00:00:00"/>
    <n v="14"/>
    <n v="48326"/>
    <x v="1"/>
    <x v="0"/>
    <x v="5"/>
    <s v="Adult"/>
    <x v="5"/>
  </r>
  <r>
    <n v="86"/>
    <x v="0"/>
    <n v="64"/>
    <x v="0"/>
    <x v="0"/>
    <x v="1"/>
    <d v="2023-06-12T00:00:00"/>
    <n v="4"/>
    <n v="41454"/>
    <x v="1"/>
    <x v="0"/>
    <x v="4"/>
    <s v="Senior"/>
    <x v="4"/>
  </r>
  <r>
    <n v="87"/>
    <x v="1"/>
    <n v="38"/>
    <x v="1"/>
    <x v="0"/>
    <x v="1"/>
    <d v="2023-04-15T00:00:00"/>
    <n v="7"/>
    <n v="3587"/>
    <x v="1"/>
    <x v="0"/>
    <x v="2"/>
    <s v="Adult"/>
    <x v="2"/>
  </r>
  <r>
    <n v="88"/>
    <x v="0"/>
    <n v="50"/>
    <x v="2"/>
    <x v="4"/>
    <x v="0"/>
    <d v="2023-07-09T00:00:00"/>
    <n v="13"/>
    <n v="44571"/>
    <x v="1"/>
    <x v="0"/>
    <x v="3"/>
    <s v="Middle Age"/>
    <x v="3"/>
  </r>
  <r>
    <n v="89"/>
    <x v="1"/>
    <n v="82"/>
    <x v="2"/>
    <x v="3"/>
    <x v="0"/>
    <d v="2023-05-22T00:00:00"/>
    <n v="1"/>
    <n v="23031"/>
    <x v="1"/>
    <x v="0"/>
    <x v="6"/>
    <s v="Senior"/>
    <x v="6"/>
  </r>
  <r>
    <n v="90"/>
    <x v="1"/>
    <n v="30"/>
    <x v="3"/>
    <x v="0"/>
    <x v="0"/>
    <d v="2023-09-07T00:00:00"/>
    <n v="7"/>
    <n v="28212"/>
    <x v="1"/>
    <x v="0"/>
    <x v="8"/>
    <s v="Adult"/>
    <x v="8"/>
  </r>
  <r>
    <n v="91"/>
    <x v="1"/>
    <n v="79"/>
    <x v="2"/>
    <x v="1"/>
    <x v="2"/>
    <d v="2023-11-03T00:00:00"/>
    <n v="8"/>
    <n v="12350"/>
    <x v="2"/>
    <x v="0"/>
    <x v="0"/>
    <s v="Senior"/>
    <x v="0"/>
  </r>
  <r>
    <n v="92"/>
    <x v="1"/>
    <n v="51"/>
    <x v="0"/>
    <x v="3"/>
    <x v="3"/>
    <d v="2023-02-20T00:00:00"/>
    <n v="5"/>
    <n v="20816"/>
    <x v="1"/>
    <x v="0"/>
    <x v="9"/>
    <s v="Middle Age"/>
    <x v="9"/>
  </r>
  <r>
    <n v="93"/>
    <x v="1"/>
    <n v="63"/>
    <x v="0"/>
    <x v="1"/>
    <x v="2"/>
    <d v="2023-09-28T00:00:00"/>
    <n v="2"/>
    <n v="22288"/>
    <x v="1"/>
    <x v="0"/>
    <x v="8"/>
    <s v="Senior"/>
    <x v="8"/>
  </r>
  <r>
    <n v="94"/>
    <x v="1"/>
    <n v="52"/>
    <x v="0"/>
    <x v="1"/>
    <x v="1"/>
    <d v="2023-07-03T00:00:00"/>
    <n v="5"/>
    <n v="31432"/>
    <x v="1"/>
    <x v="0"/>
    <x v="3"/>
    <s v="Middle Age"/>
    <x v="3"/>
  </r>
  <r>
    <n v="95"/>
    <x v="1"/>
    <n v="38"/>
    <x v="3"/>
    <x v="0"/>
    <x v="0"/>
    <d v="2023-04-28T00:00:00"/>
    <n v="6"/>
    <n v="46222"/>
    <x v="1"/>
    <x v="0"/>
    <x v="2"/>
    <s v="Adult"/>
    <x v="2"/>
  </r>
  <r>
    <n v="96"/>
    <x v="1"/>
    <n v="88"/>
    <x v="3"/>
    <x v="3"/>
    <x v="3"/>
    <d v="2023-07-29T00:00:00"/>
    <n v="12"/>
    <n v="8837"/>
    <x v="1"/>
    <x v="0"/>
    <x v="3"/>
    <s v="Senior"/>
    <x v="3"/>
  </r>
  <r>
    <n v="97"/>
    <x v="1"/>
    <n v="79"/>
    <x v="2"/>
    <x v="2"/>
    <x v="1"/>
    <d v="2023-11-26T00:00:00"/>
    <n v="2"/>
    <n v="36217"/>
    <x v="1"/>
    <x v="0"/>
    <x v="0"/>
    <s v="Senior"/>
    <x v="0"/>
  </r>
  <r>
    <n v="98"/>
    <x v="1"/>
    <n v="30"/>
    <x v="5"/>
    <x v="0"/>
    <x v="1"/>
    <d v="2023-05-25T00:00:00"/>
    <n v="14"/>
    <n v="22884"/>
    <x v="1"/>
    <x v="0"/>
    <x v="6"/>
    <s v="Adult"/>
    <x v="6"/>
  </r>
  <r>
    <n v="99"/>
    <x v="1"/>
    <n v="51"/>
    <x v="5"/>
    <x v="0"/>
    <x v="1"/>
    <d v="2023-10-27T00:00:00"/>
    <n v="6"/>
    <n v="7454"/>
    <x v="1"/>
    <x v="0"/>
    <x v="5"/>
    <s v="Middle Age"/>
    <x v="5"/>
  </r>
  <r>
    <n v="100"/>
    <x v="0"/>
    <n v="81"/>
    <x v="3"/>
    <x v="3"/>
    <x v="2"/>
    <d v="2023-10-20T00:00:00"/>
    <n v="6"/>
    <n v="11424"/>
    <x v="1"/>
    <x v="0"/>
    <x v="5"/>
    <s v="Senior"/>
    <x v="5"/>
  </r>
  <r>
    <n v="101"/>
    <x v="0"/>
    <n v="5"/>
    <x v="2"/>
    <x v="3"/>
    <x v="0"/>
    <d v="2023-05-23T00:00:00"/>
    <n v="1"/>
    <n v="38885"/>
    <x v="1"/>
    <x v="0"/>
    <x v="6"/>
    <s v="Child"/>
    <x v="6"/>
  </r>
  <r>
    <n v="102"/>
    <x v="1"/>
    <n v="29"/>
    <x v="5"/>
    <x v="1"/>
    <x v="1"/>
    <d v="2023-12-14T00:00:00"/>
    <n v="14"/>
    <n v="43637"/>
    <x v="2"/>
    <x v="0"/>
    <x v="1"/>
    <s v="Adult"/>
    <x v="1"/>
  </r>
  <r>
    <n v="103"/>
    <x v="1"/>
    <n v="4"/>
    <x v="2"/>
    <x v="3"/>
    <x v="0"/>
    <d v="2023-04-10T00:00:00"/>
    <n v="1"/>
    <n v="45618"/>
    <x v="1"/>
    <x v="0"/>
    <x v="2"/>
    <s v="Child"/>
    <x v="2"/>
  </r>
  <r>
    <n v="104"/>
    <x v="1"/>
    <n v="10"/>
    <x v="2"/>
    <x v="1"/>
    <x v="2"/>
    <d v="2023-01-06T00:00:00"/>
    <n v="14"/>
    <n v="20412"/>
    <x v="1"/>
    <x v="0"/>
    <x v="11"/>
    <s v="Child"/>
    <x v="11"/>
  </r>
  <r>
    <n v="105"/>
    <x v="1"/>
    <n v="56"/>
    <x v="2"/>
    <x v="0"/>
    <x v="1"/>
    <d v="2023-08-05T00:00:00"/>
    <n v="11"/>
    <n v="49111"/>
    <x v="1"/>
    <x v="0"/>
    <x v="10"/>
    <s v="Middle Age"/>
    <x v="10"/>
  </r>
  <r>
    <n v="106"/>
    <x v="1"/>
    <n v="17"/>
    <x v="4"/>
    <x v="4"/>
    <x v="2"/>
    <d v="2023-03-11T00:00:00"/>
    <n v="10"/>
    <n v="41613"/>
    <x v="1"/>
    <x v="0"/>
    <x v="7"/>
    <s v="Child"/>
    <x v="7"/>
  </r>
  <r>
    <n v="107"/>
    <x v="1"/>
    <n v="74"/>
    <x v="0"/>
    <x v="2"/>
    <x v="2"/>
    <d v="2023-09-24T00:00:00"/>
    <n v="3"/>
    <n v="22142"/>
    <x v="1"/>
    <x v="0"/>
    <x v="8"/>
    <s v="Senior"/>
    <x v="8"/>
  </r>
  <r>
    <n v="108"/>
    <x v="1"/>
    <n v="17"/>
    <x v="2"/>
    <x v="0"/>
    <x v="0"/>
    <d v="2023-09-09T00:00:00"/>
    <n v="14"/>
    <n v="39392"/>
    <x v="1"/>
    <x v="0"/>
    <x v="8"/>
    <s v="Child"/>
    <x v="8"/>
  </r>
  <r>
    <n v="109"/>
    <x v="1"/>
    <n v="84"/>
    <x v="4"/>
    <x v="3"/>
    <x v="1"/>
    <d v="2023-03-31T00:00:00"/>
    <n v="10"/>
    <n v="10848"/>
    <x v="2"/>
    <x v="0"/>
    <x v="7"/>
    <s v="Senior"/>
    <x v="7"/>
  </r>
  <r>
    <n v="110"/>
    <x v="0"/>
    <n v="88"/>
    <x v="3"/>
    <x v="2"/>
    <x v="2"/>
    <d v="2023-02-07T00:00:00"/>
    <n v="10"/>
    <n v="15136"/>
    <x v="1"/>
    <x v="0"/>
    <x v="9"/>
    <s v="Senior"/>
    <x v="9"/>
  </r>
  <r>
    <n v="111"/>
    <x v="1"/>
    <n v="69"/>
    <x v="5"/>
    <x v="4"/>
    <x v="1"/>
    <d v="2023-06-29T00:00:00"/>
    <n v="12"/>
    <n v="2589"/>
    <x v="1"/>
    <x v="0"/>
    <x v="4"/>
    <s v="Senior"/>
    <x v="4"/>
  </r>
  <r>
    <n v="112"/>
    <x v="0"/>
    <n v="34"/>
    <x v="0"/>
    <x v="4"/>
    <x v="0"/>
    <d v="2023-09-03T00:00:00"/>
    <n v="3"/>
    <n v="22908"/>
    <x v="1"/>
    <x v="0"/>
    <x v="8"/>
    <s v="Adult"/>
    <x v="8"/>
  </r>
  <r>
    <n v="113"/>
    <x v="1"/>
    <n v="6"/>
    <x v="5"/>
    <x v="1"/>
    <x v="2"/>
    <d v="2023-08-02T00:00:00"/>
    <n v="4"/>
    <n v="8509"/>
    <x v="1"/>
    <x v="0"/>
    <x v="10"/>
    <s v="Child"/>
    <x v="10"/>
  </r>
  <r>
    <n v="114"/>
    <x v="1"/>
    <n v="53"/>
    <x v="0"/>
    <x v="2"/>
    <x v="0"/>
    <d v="2023-07-13T00:00:00"/>
    <n v="2"/>
    <n v="42461"/>
    <x v="1"/>
    <x v="0"/>
    <x v="3"/>
    <s v="Middle Age"/>
    <x v="3"/>
  </r>
  <r>
    <n v="115"/>
    <x v="0"/>
    <n v="66"/>
    <x v="5"/>
    <x v="1"/>
    <x v="1"/>
    <d v="2023-10-20T00:00:00"/>
    <n v="9"/>
    <n v="44222"/>
    <x v="2"/>
    <x v="0"/>
    <x v="5"/>
    <s v="Senior"/>
    <x v="5"/>
  </r>
  <r>
    <n v="116"/>
    <x v="1"/>
    <n v="77"/>
    <x v="0"/>
    <x v="0"/>
    <x v="1"/>
    <d v="2023-06-07T00:00:00"/>
    <n v="10"/>
    <n v="46476"/>
    <x v="1"/>
    <x v="0"/>
    <x v="4"/>
    <s v="Senior"/>
    <x v="4"/>
  </r>
  <r>
    <n v="117"/>
    <x v="0"/>
    <n v="43"/>
    <x v="5"/>
    <x v="2"/>
    <x v="0"/>
    <d v="2023-10-29T00:00:00"/>
    <n v="12"/>
    <n v="47710"/>
    <x v="2"/>
    <x v="0"/>
    <x v="5"/>
    <s v="Middle Age"/>
    <x v="5"/>
  </r>
  <r>
    <n v="118"/>
    <x v="1"/>
    <n v="75"/>
    <x v="5"/>
    <x v="0"/>
    <x v="3"/>
    <d v="2023-02-15T00:00:00"/>
    <n v="11"/>
    <n v="11968"/>
    <x v="2"/>
    <x v="0"/>
    <x v="9"/>
    <s v="Senior"/>
    <x v="9"/>
  </r>
  <r>
    <n v="119"/>
    <x v="1"/>
    <n v="23"/>
    <x v="5"/>
    <x v="1"/>
    <x v="2"/>
    <d v="2023-05-22T00:00:00"/>
    <n v="14"/>
    <n v="4462"/>
    <x v="2"/>
    <x v="0"/>
    <x v="6"/>
    <s v="Adult"/>
    <x v="6"/>
  </r>
  <r>
    <n v="120"/>
    <x v="0"/>
    <n v="55"/>
    <x v="5"/>
    <x v="2"/>
    <x v="1"/>
    <d v="2023-05-11T00:00:00"/>
    <n v="7"/>
    <n v="11460"/>
    <x v="1"/>
    <x v="0"/>
    <x v="6"/>
    <s v="Middle Age"/>
    <x v="6"/>
  </r>
  <r>
    <n v="121"/>
    <x v="1"/>
    <n v="80"/>
    <x v="3"/>
    <x v="1"/>
    <x v="1"/>
    <d v="2023-12-15T00:00:00"/>
    <n v="7"/>
    <n v="35783"/>
    <x v="1"/>
    <x v="0"/>
    <x v="1"/>
    <s v="Senior"/>
    <x v="1"/>
  </r>
  <r>
    <n v="122"/>
    <x v="0"/>
    <n v="75"/>
    <x v="2"/>
    <x v="2"/>
    <x v="2"/>
    <d v="2023-07-06T00:00:00"/>
    <n v="6"/>
    <n v="11275"/>
    <x v="1"/>
    <x v="0"/>
    <x v="3"/>
    <s v="Senior"/>
    <x v="3"/>
  </r>
  <r>
    <n v="123"/>
    <x v="1"/>
    <n v="16"/>
    <x v="1"/>
    <x v="1"/>
    <x v="0"/>
    <d v="2023-09-11T00:00:00"/>
    <n v="3"/>
    <n v="30677"/>
    <x v="1"/>
    <x v="0"/>
    <x v="8"/>
    <s v="Child"/>
    <x v="8"/>
  </r>
  <r>
    <n v="124"/>
    <x v="0"/>
    <n v="8"/>
    <x v="4"/>
    <x v="4"/>
    <x v="0"/>
    <d v="2023-08-10T00:00:00"/>
    <n v="6"/>
    <n v="15269"/>
    <x v="1"/>
    <x v="0"/>
    <x v="10"/>
    <s v="Child"/>
    <x v="10"/>
  </r>
  <r>
    <n v="125"/>
    <x v="0"/>
    <n v="4"/>
    <x v="1"/>
    <x v="1"/>
    <x v="0"/>
    <d v="2023-01-21T00:00:00"/>
    <n v="14"/>
    <n v="2406"/>
    <x v="2"/>
    <x v="0"/>
    <x v="11"/>
    <s v="Child"/>
    <x v="11"/>
  </r>
  <r>
    <n v="126"/>
    <x v="1"/>
    <n v="4"/>
    <x v="1"/>
    <x v="4"/>
    <x v="3"/>
    <d v="2023-05-26T00:00:00"/>
    <n v="12"/>
    <n v="9384"/>
    <x v="1"/>
    <x v="0"/>
    <x v="6"/>
    <s v="Child"/>
    <x v="6"/>
  </r>
  <r>
    <n v="127"/>
    <x v="1"/>
    <n v="56"/>
    <x v="0"/>
    <x v="1"/>
    <x v="3"/>
    <d v="2023-12-30T00:00:00"/>
    <n v="8"/>
    <n v="24553"/>
    <x v="1"/>
    <x v="0"/>
    <x v="1"/>
    <s v="Middle Age"/>
    <x v="1"/>
  </r>
  <r>
    <n v="128"/>
    <x v="0"/>
    <n v="25"/>
    <x v="2"/>
    <x v="2"/>
    <x v="1"/>
    <d v="2023-04-13T00:00:00"/>
    <n v="8"/>
    <n v="26366"/>
    <x v="1"/>
    <x v="0"/>
    <x v="2"/>
    <s v="Adult"/>
    <x v="2"/>
  </r>
  <r>
    <n v="129"/>
    <x v="1"/>
    <n v="67"/>
    <x v="0"/>
    <x v="2"/>
    <x v="0"/>
    <d v="2023-03-22T00:00:00"/>
    <n v="11"/>
    <n v="46036"/>
    <x v="1"/>
    <x v="0"/>
    <x v="7"/>
    <s v="Senior"/>
    <x v="7"/>
  </r>
  <r>
    <n v="130"/>
    <x v="1"/>
    <n v="67"/>
    <x v="2"/>
    <x v="2"/>
    <x v="2"/>
    <d v="2023-07-17T00:00:00"/>
    <n v="13"/>
    <n v="19369"/>
    <x v="1"/>
    <x v="0"/>
    <x v="3"/>
    <s v="Senior"/>
    <x v="3"/>
  </r>
  <r>
    <n v="131"/>
    <x v="1"/>
    <n v="27"/>
    <x v="2"/>
    <x v="3"/>
    <x v="1"/>
    <d v="2023-11-17T00:00:00"/>
    <n v="9"/>
    <n v="13795"/>
    <x v="2"/>
    <x v="0"/>
    <x v="0"/>
    <s v="Adult"/>
    <x v="0"/>
  </r>
  <r>
    <n v="132"/>
    <x v="0"/>
    <n v="32"/>
    <x v="5"/>
    <x v="0"/>
    <x v="2"/>
    <d v="2023-08-18T00:00:00"/>
    <n v="1"/>
    <n v="6485"/>
    <x v="1"/>
    <x v="0"/>
    <x v="10"/>
    <s v="Adult"/>
    <x v="10"/>
  </r>
  <r>
    <n v="133"/>
    <x v="0"/>
    <n v="50"/>
    <x v="3"/>
    <x v="2"/>
    <x v="1"/>
    <d v="2023-03-28T00:00:00"/>
    <n v="14"/>
    <n v="43669"/>
    <x v="2"/>
    <x v="0"/>
    <x v="7"/>
    <s v="Middle Age"/>
    <x v="7"/>
  </r>
  <r>
    <n v="134"/>
    <x v="0"/>
    <n v="61"/>
    <x v="5"/>
    <x v="4"/>
    <x v="3"/>
    <d v="2023-05-29T00:00:00"/>
    <n v="1"/>
    <n v="4618"/>
    <x v="2"/>
    <x v="0"/>
    <x v="6"/>
    <s v="Senior"/>
    <x v="6"/>
  </r>
  <r>
    <n v="135"/>
    <x v="0"/>
    <n v="51"/>
    <x v="3"/>
    <x v="2"/>
    <x v="1"/>
    <d v="2023-09-11T00:00:00"/>
    <n v="3"/>
    <n v="32143"/>
    <x v="2"/>
    <x v="0"/>
    <x v="8"/>
    <s v="Middle Age"/>
    <x v="8"/>
  </r>
  <r>
    <n v="136"/>
    <x v="0"/>
    <n v="19"/>
    <x v="0"/>
    <x v="3"/>
    <x v="3"/>
    <d v="2023-04-01T00:00:00"/>
    <n v="3"/>
    <n v="31425"/>
    <x v="1"/>
    <x v="0"/>
    <x v="2"/>
    <s v="Adult"/>
    <x v="2"/>
  </r>
  <r>
    <n v="137"/>
    <x v="0"/>
    <n v="21"/>
    <x v="3"/>
    <x v="4"/>
    <x v="1"/>
    <d v="2023-06-15T00:00:00"/>
    <n v="10"/>
    <n v="24673"/>
    <x v="2"/>
    <x v="0"/>
    <x v="4"/>
    <s v="Adult"/>
    <x v="4"/>
  </r>
  <r>
    <n v="138"/>
    <x v="0"/>
    <n v="5"/>
    <x v="0"/>
    <x v="3"/>
    <x v="0"/>
    <d v="2023-05-19T00:00:00"/>
    <n v="8"/>
    <n v="11603"/>
    <x v="1"/>
    <x v="0"/>
    <x v="6"/>
    <s v="Child"/>
    <x v="6"/>
  </r>
  <r>
    <n v="139"/>
    <x v="0"/>
    <n v="82"/>
    <x v="1"/>
    <x v="4"/>
    <x v="2"/>
    <d v="2023-10-23T00:00:00"/>
    <n v="10"/>
    <n v="41696"/>
    <x v="1"/>
    <x v="0"/>
    <x v="5"/>
    <s v="Senior"/>
    <x v="5"/>
  </r>
  <r>
    <n v="140"/>
    <x v="0"/>
    <n v="42"/>
    <x v="1"/>
    <x v="1"/>
    <x v="0"/>
    <d v="2023-06-17T00:00:00"/>
    <n v="1"/>
    <n v="7368"/>
    <x v="1"/>
    <x v="0"/>
    <x v="4"/>
    <s v="Middle Age"/>
    <x v="4"/>
  </r>
  <r>
    <n v="141"/>
    <x v="1"/>
    <n v="61"/>
    <x v="3"/>
    <x v="0"/>
    <x v="1"/>
    <d v="2023-06-21T00:00:00"/>
    <n v="13"/>
    <n v="6621"/>
    <x v="1"/>
    <x v="0"/>
    <x v="4"/>
    <s v="Senior"/>
    <x v="4"/>
  </r>
  <r>
    <n v="142"/>
    <x v="0"/>
    <n v="22"/>
    <x v="3"/>
    <x v="0"/>
    <x v="1"/>
    <d v="2023-07-29T00:00:00"/>
    <n v="2"/>
    <n v="16719"/>
    <x v="1"/>
    <x v="0"/>
    <x v="3"/>
    <s v="Adult"/>
    <x v="3"/>
  </r>
  <r>
    <n v="143"/>
    <x v="1"/>
    <n v="21"/>
    <x v="0"/>
    <x v="3"/>
    <x v="1"/>
    <d v="2023-06-18T00:00:00"/>
    <n v="2"/>
    <n v="31227"/>
    <x v="1"/>
    <x v="0"/>
    <x v="4"/>
    <s v="Adult"/>
    <x v="4"/>
  </r>
  <r>
    <n v="144"/>
    <x v="1"/>
    <n v="70"/>
    <x v="5"/>
    <x v="0"/>
    <x v="3"/>
    <d v="2023-07-31T00:00:00"/>
    <n v="3"/>
    <n v="45894"/>
    <x v="1"/>
    <x v="0"/>
    <x v="3"/>
    <s v="Senior"/>
    <x v="3"/>
  </r>
  <r>
    <n v="145"/>
    <x v="1"/>
    <n v="1"/>
    <x v="0"/>
    <x v="3"/>
    <x v="2"/>
    <d v="2023-06-15T00:00:00"/>
    <n v="13"/>
    <n v="9566"/>
    <x v="0"/>
    <x v="0"/>
    <x v="4"/>
    <s v="Child"/>
    <x v="4"/>
  </r>
  <r>
    <n v="146"/>
    <x v="0"/>
    <n v="5"/>
    <x v="5"/>
    <x v="3"/>
    <x v="2"/>
    <d v="2023-12-16T00:00:00"/>
    <n v="6"/>
    <n v="14306"/>
    <x v="1"/>
    <x v="0"/>
    <x v="1"/>
    <s v="Child"/>
    <x v="1"/>
  </r>
  <r>
    <n v="147"/>
    <x v="0"/>
    <n v="12"/>
    <x v="1"/>
    <x v="3"/>
    <x v="1"/>
    <d v="2023-02-28T00:00:00"/>
    <n v="1"/>
    <n v="26042"/>
    <x v="1"/>
    <x v="0"/>
    <x v="9"/>
    <s v="Child"/>
    <x v="9"/>
  </r>
  <r>
    <n v="148"/>
    <x v="0"/>
    <n v="46"/>
    <x v="2"/>
    <x v="0"/>
    <x v="1"/>
    <d v="2023-02-11T00:00:00"/>
    <n v="2"/>
    <n v="17086"/>
    <x v="1"/>
    <x v="0"/>
    <x v="9"/>
    <s v="Middle Age"/>
    <x v="9"/>
  </r>
  <r>
    <n v="149"/>
    <x v="0"/>
    <n v="34"/>
    <x v="3"/>
    <x v="3"/>
    <x v="3"/>
    <d v="2023-08-01T00:00:00"/>
    <n v="13"/>
    <n v="19387"/>
    <x v="1"/>
    <x v="0"/>
    <x v="10"/>
    <s v="Adult"/>
    <x v="10"/>
  </r>
  <r>
    <n v="150"/>
    <x v="1"/>
    <n v="49"/>
    <x v="5"/>
    <x v="0"/>
    <x v="0"/>
    <d v="2023-10-23T00:00:00"/>
    <n v="13"/>
    <n v="29042"/>
    <x v="0"/>
    <x v="0"/>
    <x v="5"/>
    <s v="Middle Age"/>
    <x v="5"/>
  </r>
  <r>
    <n v="151"/>
    <x v="0"/>
    <n v="78"/>
    <x v="0"/>
    <x v="3"/>
    <x v="0"/>
    <d v="2023-08-22T00:00:00"/>
    <n v="1"/>
    <n v="25888"/>
    <x v="1"/>
    <x v="0"/>
    <x v="10"/>
    <s v="Senior"/>
    <x v="10"/>
  </r>
  <r>
    <n v="152"/>
    <x v="0"/>
    <n v="45"/>
    <x v="1"/>
    <x v="2"/>
    <x v="2"/>
    <d v="2023-05-10T00:00:00"/>
    <n v="5"/>
    <n v="28514"/>
    <x v="1"/>
    <x v="0"/>
    <x v="6"/>
    <s v="Middle Age"/>
    <x v="6"/>
  </r>
  <r>
    <n v="153"/>
    <x v="0"/>
    <n v="27"/>
    <x v="5"/>
    <x v="3"/>
    <x v="3"/>
    <d v="2023-06-16T00:00:00"/>
    <n v="13"/>
    <n v="20323"/>
    <x v="1"/>
    <x v="0"/>
    <x v="4"/>
    <s v="Adult"/>
    <x v="4"/>
  </r>
  <r>
    <n v="154"/>
    <x v="0"/>
    <n v="73"/>
    <x v="0"/>
    <x v="4"/>
    <x v="1"/>
    <d v="2023-10-24T00:00:00"/>
    <n v="13"/>
    <n v="20019"/>
    <x v="0"/>
    <x v="0"/>
    <x v="5"/>
    <s v="Senior"/>
    <x v="5"/>
  </r>
  <r>
    <n v="155"/>
    <x v="0"/>
    <n v="26"/>
    <x v="3"/>
    <x v="3"/>
    <x v="2"/>
    <d v="2023-11-19T00:00:00"/>
    <n v="7"/>
    <n v="11890"/>
    <x v="1"/>
    <x v="0"/>
    <x v="0"/>
    <s v="Adult"/>
    <x v="0"/>
  </r>
  <r>
    <n v="156"/>
    <x v="1"/>
    <n v="47"/>
    <x v="3"/>
    <x v="1"/>
    <x v="3"/>
    <d v="2023-06-11T00:00:00"/>
    <n v="8"/>
    <n v="42863"/>
    <x v="2"/>
    <x v="0"/>
    <x v="4"/>
    <s v="Middle Age"/>
    <x v="4"/>
  </r>
  <r>
    <n v="157"/>
    <x v="0"/>
    <n v="86"/>
    <x v="4"/>
    <x v="3"/>
    <x v="0"/>
    <d v="2023-03-04T00:00:00"/>
    <n v="10"/>
    <n v="47487"/>
    <x v="1"/>
    <x v="0"/>
    <x v="7"/>
    <s v="Senior"/>
    <x v="7"/>
  </r>
  <r>
    <n v="158"/>
    <x v="1"/>
    <n v="56"/>
    <x v="2"/>
    <x v="4"/>
    <x v="3"/>
    <d v="2023-08-09T00:00:00"/>
    <n v="1"/>
    <n v="12283"/>
    <x v="1"/>
    <x v="0"/>
    <x v="10"/>
    <s v="Middle Age"/>
    <x v="10"/>
  </r>
  <r>
    <n v="159"/>
    <x v="0"/>
    <n v="63"/>
    <x v="4"/>
    <x v="4"/>
    <x v="0"/>
    <d v="2023-04-03T00:00:00"/>
    <n v="7"/>
    <n v="20279"/>
    <x v="1"/>
    <x v="0"/>
    <x v="2"/>
    <s v="Senior"/>
    <x v="2"/>
  </r>
  <r>
    <n v="160"/>
    <x v="1"/>
    <n v="48"/>
    <x v="1"/>
    <x v="0"/>
    <x v="3"/>
    <d v="2023-07-09T00:00:00"/>
    <n v="13"/>
    <n v="48999"/>
    <x v="2"/>
    <x v="0"/>
    <x v="3"/>
    <s v="Middle Age"/>
    <x v="3"/>
  </r>
  <r>
    <n v="161"/>
    <x v="0"/>
    <n v="61"/>
    <x v="5"/>
    <x v="2"/>
    <x v="2"/>
    <d v="2023-05-12T00:00:00"/>
    <n v="5"/>
    <n v="24908"/>
    <x v="1"/>
    <x v="0"/>
    <x v="6"/>
    <s v="Senior"/>
    <x v="6"/>
  </r>
  <r>
    <n v="162"/>
    <x v="0"/>
    <n v="81"/>
    <x v="1"/>
    <x v="3"/>
    <x v="0"/>
    <d v="2023-11-18T00:00:00"/>
    <n v="10"/>
    <n v="49466"/>
    <x v="1"/>
    <x v="0"/>
    <x v="0"/>
    <s v="Senior"/>
    <x v="0"/>
  </r>
  <r>
    <n v="163"/>
    <x v="1"/>
    <n v="26"/>
    <x v="0"/>
    <x v="0"/>
    <x v="2"/>
    <d v="2023-05-16T00:00:00"/>
    <n v="1"/>
    <n v="39952"/>
    <x v="1"/>
    <x v="0"/>
    <x v="6"/>
    <s v="Adult"/>
    <x v="6"/>
  </r>
  <r>
    <n v="164"/>
    <x v="1"/>
    <n v="36"/>
    <x v="3"/>
    <x v="2"/>
    <x v="2"/>
    <d v="2023-07-19T00:00:00"/>
    <n v="3"/>
    <n v="37170"/>
    <x v="1"/>
    <x v="0"/>
    <x v="3"/>
    <s v="Adult"/>
    <x v="3"/>
  </r>
  <r>
    <n v="165"/>
    <x v="1"/>
    <n v="1"/>
    <x v="4"/>
    <x v="3"/>
    <x v="0"/>
    <d v="2023-01-15T00:00:00"/>
    <n v="7"/>
    <n v="39663"/>
    <x v="1"/>
    <x v="0"/>
    <x v="11"/>
    <s v="Child"/>
    <x v="11"/>
  </r>
  <r>
    <n v="166"/>
    <x v="0"/>
    <n v="8"/>
    <x v="4"/>
    <x v="1"/>
    <x v="0"/>
    <d v="2023-12-24T00:00:00"/>
    <n v="10"/>
    <n v="46172"/>
    <x v="0"/>
    <x v="0"/>
    <x v="1"/>
    <s v="Child"/>
    <x v="1"/>
  </r>
  <r>
    <n v="167"/>
    <x v="1"/>
    <n v="52"/>
    <x v="4"/>
    <x v="3"/>
    <x v="1"/>
    <d v="2023-05-21T00:00:00"/>
    <n v="1"/>
    <n v="49929"/>
    <x v="1"/>
    <x v="0"/>
    <x v="6"/>
    <s v="Middle Age"/>
    <x v="6"/>
  </r>
  <r>
    <n v="168"/>
    <x v="0"/>
    <n v="79"/>
    <x v="1"/>
    <x v="4"/>
    <x v="1"/>
    <d v="2023-09-16T00:00:00"/>
    <n v="7"/>
    <n v="11343"/>
    <x v="1"/>
    <x v="0"/>
    <x v="8"/>
    <s v="Senior"/>
    <x v="8"/>
  </r>
  <r>
    <n v="169"/>
    <x v="0"/>
    <n v="47"/>
    <x v="3"/>
    <x v="4"/>
    <x v="1"/>
    <d v="2023-02-11T00:00:00"/>
    <n v="5"/>
    <n v="12637"/>
    <x v="2"/>
    <x v="0"/>
    <x v="9"/>
    <s v="Middle Age"/>
    <x v="9"/>
  </r>
  <r>
    <n v="170"/>
    <x v="1"/>
    <n v="56"/>
    <x v="5"/>
    <x v="1"/>
    <x v="2"/>
    <d v="2023-04-08T00:00:00"/>
    <n v="1"/>
    <n v="36724"/>
    <x v="1"/>
    <x v="0"/>
    <x v="2"/>
    <s v="Middle Age"/>
    <x v="2"/>
  </r>
  <r>
    <n v="171"/>
    <x v="1"/>
    <n v="86"/>
    <x v="0"/>
    <x v="0"/>
    <x v="2"/>
    <d v="2023-12-12T00:00:00"/>
    <n v="1"/>
    <n v="41791"/>
    <x v="1"/>
    <x v="0"/>
    <x v="1"/>
    <s v="Senior"/>
    <x v="1"/>
  </r>
  <r>
    <n v="172"/>
    <x v="0"/>
    <n v="14"/>
    <x v="5"/>
    <x v="2"/>
    <x v="1"/>
    <d v="2023-11-03T00:00:00"/>
    <n v="14"/>
    <n v="31134"/>
    <x v="1"/>
    <x v="0"/>
    <x v="0"/>
    <s v="Child"/>
    <x v="0"/>
  </r>
  <r>
    <n v="173"/>
    <x v="0"/>
    <n v="28"/>
    <x v="1"/>
    <x v="3"/>
    <x v="2"/>
    <d v="2023-04-13T00:00:00"/>
    <n v="1"/>
    <n v="48830"/>
    <x v="1"/>
    <x v="0"/>
    <x v="2"/>
    <s v="Adult"/>
    <x v="2"/>
  </r>
  <r>
    <n v="174"/>
    <x v="1"/>
    <n v="87"/>
    <x v="0"/>
    <x v="4"/>
    <x v="2"/>
    <d v="2023-06-14T00:00:00"/>
    <n v="11"/>
    <n v="49101"/>
    <x v="1"/>
    <x v="0"/>
    <x v="4"/>
    <s v="Senior"/>
    <x v="4"/>
  </r>
  <r>
    <n v="175"/>
    <x v="1"/>
    <n v="78"/>
    <x v="4"/>
    <x v="0"/>
    <x v="0"/>
    <d v="2023-01-22T00:00:00"/>
    <n v="9"/>
    <n v="5907"/>
    <x v="1"/>
    <x v="0"/>
    <x v="11"/>
    <s v="Senior"/>
    <x v="11"/>
  </r>
  <r>
    <n v="176"/>
    <x v="1"/>
    <n v="88"/>
    <x v="2"/>
    <x v="1"/>
    <x v="0"/>
    <d v="2023-10-21T00:00:00"/>
    <n v="11"/>
    <n v="35575"/>
    <x v="1"/>
    <x v="0"/>
    <x v="5"/>
    <s v="Senior"/>
    <x v="5"/>
  </r>
  <r>
    <n v="177"/>
    <x v="0"/>
    <n v="2"/>
    <x v="1"/>
    <x v="4"/>
    <x v="2"/>
    <d v="2023-04-10T00:00:00"/>
    <n v="13"/>
    <n v="48799"/>
    <x v="1"/>
    <x v="0"/>
    <x v="2"/>
    <s v="Child"/>
    <x v="2"/>
  </r>
  <r>
    <n v="178"/>
    <x v="0"/>
    <n v="26"/>
    <x v="1"/>
    <x v="1"/>
    <x v="1"/>
    <d v="2023-11-07T00:00:00"/>
    <n v="3"/>
    <n v="6827"/>
    <x v="0"/>
    <x v="0"/>
    <x v="0"/>
    <s v="Adult"/>
    <x v="0"/>
  </r>
  <r>
    <n v="179"/>
    <x v="0"/>
    <n v="14"/>
    <x v="3"/>
    <x v="3"/>
    <x v="3"/>
    <d v="2023-03-25T00:00:00"/>
    <n v="13"/>
    <n v="32607"/>
    <x v="2"/>
    <x v="0"/>
    <x v="7"/>
    <s v="Child"/>
    <x v="7"/>
  </r>
  <r>
    <n v="180"/>
    <x v="0"/>
    <n v="59"/>
    <x v="5"/>
    <x v="2"/>
    <x v="1"/>
    <d v="2023-08-12T00:00:00"/>
    <n v="5"/>
    <n v="15699"/>
    <x v="2"/>
    <x v="0"/>
    <x v="10"/>
    <s v="Middle Age"/>
    <x v="10"/>
  </r>
  <r>
    <n v="181"/>
    <x v="0"/>
    <n v="56"/>
    <x v="1"/>
    <x v="4"/>
    <x v="3"/>
    <d v="2023-05-24T00:00:00"/>
    <n v="11"/>
    <n v="39292"/>
    <x v="2"/>
    <x v="0"/>
    <x v="6"/>
    <s v="Middle Age"/>
    <x v="6"/>
  </r>
  <r>
    <n v="182"/>
    <x v="0"/>
    <n v="7"/>
    <x v="1"/>
    <x v="4"/>
    <x v="1"/>
    <d v="2023-10-22T00:00:00"/>
    <n v="10"/>
    <n v="49961"/>
    <x v="1"/>
    <x v="0"/>
    <x v="5"/>
    <s v="Child"/>
    <x v="5"/>
  </r>
  <r>
    <n v="183"/>
    <x v="1"/>
    <n v="3"/>
    <x v="4"/>
    <x v="3"/>
    <x v="0"/>
    <d v="2023-07-30T00:00:00"/>
    <n v="12"/>
    <n v="27883"/>
    <x v="2"/>
    <x v="0"/>
    <x v="3"/>
    <s v="Child"/>
    <x v="3"/>
  </r>
  <r>
    <n v="184"/>
    <x v="0"/>
    <n v="23"/>
    <x v="4"/>
    <x v="0"/>
    <x v="2"/>
    <d v="2023-10-01T00:00:00"/>
    <n v="9"/>
    <n v="7313"/>
    <x v="1"/>
    <x v="0"/>
    <x v="5"/>
    <s v="Adult"/>
    <x v="5"/>
  </r>
  <r>
    <n v="185"/>
    <x v="0"/>
    <n v="18"/>
    <x v="0"/>
    <x v="2"/>
    <x v="2"/>
    <d v="2023-08-20T00:00:00"/>
    <n v="6"/>
    <n v="15598"/>
    <x v="1"/>
    <x v="0"/>
    <x v="10"/>
    <s v="Adult"/>
    <x v="10"/>
  </r>
  <r>
    <n v="186"/>
    <x v="0"/>
    <n v="38"/>
    <x v="2"/>
    <x v="4"/>
    <x v="0"/>
    <d v="2023-11-15T00:00:00"/>
    <n v="12"/>
    <n v="47826"/>
    <x v="1"/>
    <x v="0"/>
    <x v="0"/>
    <s v="Adult"/>
    <x v="0"/>
  </r>
  <r>
    <n v="187"/>
    <x v="1"/>
    <n v="15"/>
    <x v="3"/>
    <x v="2"/>
    <x v="3"/>
    <d v="2023-07-15T00:00:00"/>
    <n v="9"/>
    <n v="30807"/>
    <x v="1"/>
    <x v="0"/>
    <x v="3"/>
    <s v="Child"/>
    <x v="3"/>
  </r>
  <r>
    <n v="188"/>
    <x v="0"/>
    <n v="64"/>
    <x v="2"/>
    <x v="4"/>
    <x v="3"/>
    <d v="2023-10-20T00:00:00"/>
    <n v="8"/>
    <n v="6887"/>
    <x v="2"/>
    <x v="0"/>
    <x v="5"/>
    <s v="Senior"/>
    <x v="5"/>
  </r>
  <r>
    <n v="189"/>
    <x v="0"/>
    <n v="89"/>
    <x v="0"/>
    <x v="2"/>
    <x v="3"/>
    <d v="2023-11-05T00:00:00"/>
    <n v="8"/>
    <n v="5854"/>
    <x v="0"/>
    <x v="0"/>
    <x v="0"/>
    <s v="Senior"/>
    <x v="0"/>
  </r>
  <r>
    <n v="190"/>
    <x v="1"/>
    <n v="28"/>
    <x v="4"/>
    <x v="1"/>
    <x v="0"/>
    <d v="2023-06-28T00:00:00"/>
    <n v="1"/>
    <n v="47226"/>
    <x v="1"/>
    <x v="0"/>
    <x v="4"/>
    <s v="Adult"/>
    <x v="4"/>
  </r>
  <r>
    <n v="191"/>
    <x v="0"/>
    <n v="74"/>
    <x v="5"/>
    <x v="4"/>
    <x v="3"/>
    <d v="2023-11-25T00:00:00"/>
    <n v="13"/>
    <n v="16536"/>
    <x v="2"/>
    <x v="0"/>
    <x v="0"/>
    <s v="Senior"/>
    <x v="0"/>
  </r>
  <r>
    <n v="192"/>
    <x v="0"/>
    <n v="39"/>
    <x v="4"/>
    <x v="2"/>
    <x v="0"/>
    <d v="2023-09-09T00:00:00"/>
    <n v="9"/>
    <n v="5558"/>
    <x v="1"/>
    <x v="0"/>
    <x v="8"/>
    <s v="Adult"/>
    <x v="8"/>
  </r>
  <r>
    <n v="193"/>
    <x v="0"/>
    <n v="57"/>
    <x v="3"/>
    <x v="0"/>
    <x v="1"/>
    <d v="2023-06-03T00:00:00"/>
    <n v="6"/>
    <n v="11772"/>
    <x v="1"/>
    <x v="0"/>
    <x v="4"/>
    <s v="Middle Age"/>
    <x v="4"/>
  </r>
  <r>
    <n v="194"/>
    <x v="0"/>
    <n v="17"/>
    <x v="4"/>
    <x v="1"/>
    <x v="1"/>
    <d v="2023-12-24T00:00:00"/>
    <n v="9"/>
    <n v="38343"/>
    <x v="1"/>
    <x v="0"/>
    <x v="1"/>
    <s v="Child"/>
    <x v="1"/>
  </r>
  <r>
    <n v="195"/>
    <x v="0"/>
    <n v="86"/>
    <x v="3"/>
    <x v="1"/>
    <x v="0"/>
    <d v="2023-01-17T00:00:00"/>
    <n v="3"/>
    <n v="37186"/>
    <x v="1"/>
    <x v="0"/>
    <x v="11"/>
    <s v="Senior"/>
    <x v="11"/>
  </r>
  <r>
    <n v="196"/>
    <x v="1"/>
    <n v="44"/>
    <x v="3"/>
    <x v="0"/>
    <x v="2"/>
    <d v="2023-04-16T00:00:00"/>
    <n v="12"/>
    <n v="38966"/>
    <x v="0"/>
    <x v="0"/>
    <x v="2"/>
    <s v="Middle Age"/>
    <x v="2"/>
  </r>
  <r>
    <n v="197"/>
    <x v="1"/>
    <n v="25"/>
    <x v="3"/>
    <x v="2"/>
    <x v="1"/>
    <d v="2023-01-23T00:00:00"/>
    <n v="3"/>
    <n v="35769"/>
    <x v="2"/>
    <x v="0"/>
    <x v="11"/>
    <s v="Adult"/>
    <x v="11"/>
  </r>
  <r>
    <n v="198"/>
    <x v="1"/>
    <n v="17"/>
    <x v="0"/>
    <x v="3"/>
    <x v="3"/>
    <d v="2023-08-09T00:00:00"/>
    <n v="6"/>
    <n v="41887"/>
    <x v="2"/>
    <x v="0"/>
    <x v="10"/>
    <s v="Child"/>
    <x v="10"/>
  </r>
  <r>
    <n v="199"/>
    <x v="0"/>
    <n v="13"/>
    <x v="3"/>
    <x v="0"/>
    <x v="0"/>
    <d v="2023-12-17T00:00:00"/>
    <n v="9"/>
    <n v="21229"/>
    <x v="1"/>
    <x v="0"/>
    <x v="1"/>
    <s v="Child"/>
    <x v="1"/>
  </r>
  <r>
    <n v="200"/>
    <x v="0"/>
    <n v="84"/>
    <x v="3"/>
    <x v="2"/>
    <x v="3"/>
    <d v="2023-08-26T00:00:00"/>
    <n v="7"/>
    <n v="11673"/>
    <x v="0"/>
    <x v="0"/>
    <x v="10"/>
    <s v="Senior"/>
    <x v="10"/>
  </r>
  <r>
    <n v="201"/>
    <x v="0"/>
    <n v="25"/>
    <x v="5"/>
    <x v="0"/>
    <x v="3"/>
    <d v="2023-02-06T00:00:00"/>
    <n v="14"/>
    <n v="29877"/>
    <x v="1"/>
    <x v="0"/>
    <x v="9"/>
    <s v="Adult"/>
    <x v="9"/>
  </r>
  <r>
    <n v="202"/>
    <x v="1"/>
    <n v="68"/>
    <x v="2"/>
    <x v="0"/>
    <x v="2"/>
    <d v="2023-09-06T00:00:00"/>
    <n v="13"/>
    <n v="33601"/>
    <x v="2"/>
    <x v="0"/>
    <x v="8"/>
    <s v="Senior"/>
    <x v="8"/>
  </r>
  <r>
    <n v="203"/>
    <x v="0"/>
    <n v="10"/>
    <x v="1"/>
    <x v="4"/>
    <x v="3"/>
    <d v="2023-02-15T00:00:00"/>
    <n v="3"/>
    <n v="40084"/>
    <x v="1"/>
    <x v="0"/>
    <x v="9"/>
    <s v="Child"/>
    <x v="9"/>
  </r>
  <r>
    <n v="204"/>
    <x v="0"/>
    <n v="67"/>
    <x v="2"/>
    <x v="2"/>
    <x v="2"/>
    <d v="2023-03-07T00:00:00"/>
    <n v="3"/>
    <n v="18244"/>
    <x v="1"/>
    <x v="0"/>
    <x v="7"/>
    <s v="Senior"/>
    <x v="7"/>
  </r>
  <r>
    <n v="205"/>
    <x v="1"/>
    <n v="18"/>
    <x v="3"/>
    <x v="3"/>
    <x v="1"/>
    <d v="2023-12-22T00:00:00"/>
    <n v="2"/>
    <n v="29356"/>
    <x v="1"/>
    <x v="0"/>
    <x v="1"/>
    <s v="Adult"/>
    <x v="1"/>
  </r>
  <r>
    <n v="206"/>
    <x v="0"/>
    <n v="86"/>
    <x v="5"/>
    <x v="4"/>
    <x v="0"/>
    <d v="2023-01-12T00:00:00"/>
    <n v="9"/>
    <n v="18806"/>
    <x v="1"/>
    <x v="0"/>
    <x v="11"/>
    <s v="Senior"/>
    <x v="11"/>
  </r>
  <r>
    <n v="207"/>
    <x v="1"/>
    <n v="34"/>
    <x v="4"/>
    <x v="0"/>
    <x v="3"/>
    <d v="2023-09-04T00:00:00"/>
    <n v="13"/>
    <n v="25099"/>
    <x v="1"/>
    <x v="0"/>
    <x v="8"/>
    <s v="Adult"/>
    <x v="8"/>
  </r>
  <r>
    <n v="208"/>
    <x v="1"/>
    <n v="8"/>
    <x v="5"/>
    <x v="0"/>
    <x v="0"/>
    <d v="2023-11-14T00:00:00"/>
    <n v="3"/>
    <n v="46641"/>
    <x v="1"/>
    <x v="0"/>
    <x v="0"/>
    <s v="Child"/>
    <x v="0"/>
  </r>
  <r>
    <n v="209"/>
    <x v="1"/>
    <n v="40"/>
    <x v="3"/>
    <x v="0"/>
    <x v="3"/>
    <d v="2023-10-23T00:00:00"/>
    <n v="11"/>
    <n v="39034"/>
    <x v="1"/>
    <x v="0"/>
    <x v="5"/>
    <s v="Middle Age"/>
    <x v="5"/>
  </r>
  <r>
    <n v="210"/>
    <x v="0"/>
    <n v="83"/>
    <x v="5"/>
    <x v="2"/>
    <x v="0"/>
    <d v="2023-03-01T00:00:00"/>
    <n v="5"/>
    <n v="42317"/>
    <x v="1"/>
    <x v="0"/>
    <x v="7"/>
    <s v="Senior"/>
    <x v="7"/>
  </r>
  <r>
    <n v="211"/>
    <x v="0"/>
    <n v="42"/>
    <x v="5"/>
    <x v="2"/>
    <x v="3"/>
    <d v="2023-01-01T00:00:00"/>
    <n v="14"/>
    <n v="21094"/>
    <x v="1"/>
    <x v="0"/>
    <x v="11"/>
    <s v="Middle Age"/>
    <x v="11"/>
  </r>
  <r>
    <n v="212"/>
    <x v="0"/>
    <n v="41"/>
    <x v="3"/>
    <x v="4"/>
    <x v="3"/>
    <d v="2023-10-19T00:00:00"/>
    <n v="14"/>
    <n v="12589"/>
    <x v="1"/>
    <x v="0"/>
    <x v="5"/>
    <s v="Middle Age"/>
    <x v="5"/>
  </r>
  <r>
    <n v="213"/>
    <x v="0"/>
    <n v="6"/>
    <x v="0"/>
    <x v="3"/>
    <x v="3"/>
    <d v="2023-04-24T00:00:00"/>
    <n v="9"/>
    <n v="3657"/>
    <x v="1"/>
    <x v="0"/>
    <x v="2"/>
    <s v="Child"/>
    <x v="2"/>
  </r>
  <r>
    <n v="214"/>
    <x v="0"/>
    <n v="52"/>
    <x v="5"/>
    <x v="4"/>
    <x v="3"/>
    <d v="2023-06-22T00:00:00"/>
    <n v="8"/>
    <n v="34764"/>
    <x v="1"/>
    <x v="0"/>
    <x v="4"/>
    <s v="Middle Age"/>
    <x v="4"/>
  </r>
  <r>
    <n v="215"/>
    <x v="0"/>
    <n v="26"/>
    <x v="1"/>
    <x v="1"/>
    <x v="3"/>
    <d v="2023-10-29T00:00:00"/>
    <n v="2"/>
    <n v="41531"/>
    <x v="1"/>
    <x v="0"/>
    <x v="5"/>
    <s v="Adult"/>
    <x v="5"/>
  </r>
  <r>
    <n v="216"/>
    <x v="0"/>
    <n v="64"/>
    <x v="1"/>
    <x v="0"/>
    <x v="3"/>
    <d v="2023-10-15T00:00:00"/>
    <n v="3"/>
    <n v="5164"/>
    <x v="0"/>
    <x v="0"/>
    <x v="5"/>
    <s v="Senior"/>
    <x v="5"/>
  </r>
  <r>
    <n v="217"/>
    <x v="1"/>
    <n v="59"/>
    <x v="5"/>
    <x v="0"/>
    <x v="3"/>
    <d v="2023-01-02T00:00:00"/>
    <n v="2"/>
    <n v="29542"/>
    <x v="2"/>
    <x v="0"/>
    <x v="11"/>
    <s v="Middle Age"/>
    <x v="11"/>
  </r>
  <r>
    <n v="218"/>
    <x v="0"/>
    <n v="56"/>
    <x v="0"/>
    <x v="0"/>
    <x v="3"/>
    <d v="2023-12-15T00:00:00"/>
    <n v="8"/>
    <n v="20437"/>
    <x v="1"/>
    <x v="0"/>
    <x v="1"/>
    <s v="Middle Age"/>
    <x v="1"/>
  </r>
  <r>
    <n v="219"/>
    <x v="1"/>
    <n v="59"/>
    <x v="4"/>
    <x v="4"/>
    <x v="3"/>
    <d v="2023-10-19T00:00:00"/>
    <n v="6"/>
    <n v="43247"/>
    <x v="2"/>
    <x v="0"/>
    <x v="5"/>
    <s v="Middle Age"/>
    <x v="5"/>
  </r>
  <r>
    <n v="220"/>
    <x v="0"/>
    <n v="70"/>
    <x v="3"/>
    <x v="4"/>
    <x v="0"/>
    <d v="2023-02-21T00:00:00"/>
    <n v="6"/>
    <n v="40505"/>
    <x v="2"/>
    <x v="0"/>
    <x v="9"/>
    <s v="Senior"/>
    <x v="9"/>
  </r>
  <r>
    <n v="221"/>
    <x v="0"/>
    <n v="33"/>
    <x v="1"/>
    <x v="0"/>
    <x v="2"/>
    <d v="2023-11-06T00:00:00"/>
    <n v="12"/>
    <n v="21601"/>
    <x v="0"/>
    <x v="0"/>
    <x v="0"/>
    <s v="Adult"/>
    <x v="0"/>
  </r>
  <r>
    <n v="222"/>
    <x v="0"/>
    <n v="53"/>
    <x v="4"/>
    <x v="4"/>
    <x v="3"/>
    <d v="2023-04-11T00:00:00"/>
    <n v="9"/>
    <n v="30430"/>
    <x v="1"/>
    <x v="0"/>
    <x v="2"/>
    <s v="Middle Age"/>
    <x v="2"/>
  </r>
  <r>
    <n v="223"/>
    <x v="1"/>
    <n v="22"/>
    <x v="5"/>
    <x v="2"/>
    <x v="2"/>
    <d v="2023-05-11T00:00:00"/>
    <n v="8"/>
    <n v="8009"/>
    <x v="1"/>
    <x v="0"/>
    <x v="6"/>
    <s v="Adult"/>
    <x v="6"/>
  </r>
  <r>
    <n v="224"/>
    <x v="1"/>
    <n v="21"/>
    <x v="4"/>
    <x v="2"/>
    <x v="3"/>
    <d v="2023-05-04T00:00:00"/>
    <n v="4"/>
    <n v="6552"/>
    <x v="1"/>
    <x v="0"/>
    <x v="6"/>
    <s v="Adult"/>
    <x v="6"/>
  </r>
  <r>
    <n v="225"/>
    <x v="1"/>
    <n v="70"/>
    <x v="2"/>
    <x v="4"/>
    <x v="3"/>
    <d v="2023-05-22T00:00:00"/>
    <n v="12"/>
    <n v="11417"/>
    <x v="1"/>
    <x v="0"/>
    <x v="6"/>
    <s v="Senior"/>
    <x v="6"/>
  </r>
  <r>
    <n v="226"/>
    <x v="1"/>
    <n v="70"/>
    <x v="1"/>
    <x v="0"/>
    <x v="0"/>
    <d v="2023-11-06T00:00:00"/>
    <n v="4"/>
    <n v="43989"/>
    <x v="1"/>
    <x v="0"/>
    <x v="0"/>
    <s v="Senior"/>
    <x v="0"/>
  </r>
  <r>
    <n v="227"/>
    <x v="0"/>
    <n v="4"/>
    <x v="5"/>
    <x v="4"/>
    <x v="1"/>
    <d v="2023-06-19T00:00:00"/>
    <n v="9"/>
    <n v="4671"/>
    <x v="1"/>
    <x v="0"/>
    <x v="4"/>
    <s v="Child"/>
    <x v="4"/>
  </r>
  <r>
    <n v="228"/>
    <x v="1"/>
    <n v="75"/>
    <x v="3"/>
    <x v="4"/>
    <x v="1"/>
    <d v="2023-12-08T00:00:00"/>
    <n v="1"/>
    <n v="8519"/>
    <x v="2"/>
    <x v="0"/>
    <x v="1"/>
    <s v="Senior"/>
    <x v="1"/>
  </r>
  <r>
    <n v="229"/>
    <x v="0"/>
    <n v="62"/>
    <x v="0"/>
    <x v="4"/>
    <x v="0"/>
    <d v="2023-12-23T00:00:00"/>
    <n v="13"/>
    <n v="38730"/>
    <x v="0"/>
    <x v="0"/>
    <x v="1"/>
    <s v="Senior"/>
    <x v="1"/>
  </r>
  <r>
    <n v="230"/>
    <x v="0"/>
    <n v="62"/>
    <x v="5"/>
    <x v="1"/>
    <x v="2"/>
    <d v="2023-08-26T00:00:00"/>
    <n v="2"/>
    <n v="14734"/>
    <x v="1"/>
    <x v="0"/>
    <x v="10"/>
    <s v="Senior"/>
    <x v="10"/>
  </r>
  <r>
    <n v="231"/>
    <x v="1"/>
    <n v="24"/>
    <x v="3"/>
    <x v="2"/>
    <x v="1"/>
    <d v="2023-06-21T00:00:00"/>
    <n v="2"/>
    <n v="47890"/>
    <x v="1"/>
    <x v="0"/>
    <x v="4"/>
    <s v="Adult"/>
    <x v="4"/>
  </r>
  <r>
    <n v="232"/>
    <x v="1"/>
    <n v="55"/>
    <x v="0"/>
    <x v="3"/>
    <x v="0"/>
    <d v="2023-10-03T00:00:00"/>
    <n v="13"/>
    <n v="5722"/>
    <x v="1"/>
    <x v="0"/>
    <x v="5"/>
    <s v="Middle Age"/>
    <x v="5"/>
  </r>
  <r>
    <n v="233"/>
    <x v="1"/>
    <n v="9"/>
    <x v="0"/>
    <x v="3"/>
    <x v="0"/>
    <d v="2023-10-30T00:00:00"/>
    <n v="13"/>
    <n v="6906"/>
    <x v="2"/>
    <x v="0"/>
    <x v="5"/>
    <s v="Child"/>
    <x v="5"/>
  </r>
  <r>
    <n v="234"/>
    <x v="1"/>
    <n v="3"/>
    <x v="5"/>
    <x v="1"/>
    <x v="1"/>
    <d v="2023-12-28T00:00:00"/>
    <n v="6"/>
    <n v="32096"/>
    <x v="1"/>
    <x v="0"/>
    <x v="1"/>
    <s v="Child"/>
    <x v="1"/>
  </r>
  <r>
    <n v="235"/>
    <x v="1"/>
    <n v="31"/>
    <x v="4"/>
    <x v="4"/>
    <x v="2"/>
    <d v="2023-10-13T00:00:00"/>
    <n v="4"/>
    <n v="42031"/>
    <x v="1"/>
    <x v="0"/>
    <x v="5"/>
    <s v="Adult"/>
    <x v="5"/>
  </r>
  <r>
    <n v="236"/>
    <x v="1"/>
    <n v="40"/>
    <x v="4"/>
    <x v="1"/>
    <x v="0"/>
    <d v="2023-04-10T00:00:00"/>
    <n v="13"/>
    <n v="15699"/>
    <x v="1"/>
    <x v="0"/>
    <x v="2"/>
    <s v="Middle Age"/>
    <x v="2"/>
  </r>
  <r>
    <n v="237"/>
    <x v="1"/>
    <n v="36"/>
    <x v="0"/>
    <x v="1"/>
    <x v="3"/>
    <d v="2023-01-17T00:00:00"/>
    <n v="11"/>
    <n v="23438"/>
    <x v="1"/>
    <x v="0"/>
    <x v="11"/>
    <s v="Adult"/>
    <x v="11"/>
  </r>
  <r>
    <n v="238"/>
    <x v="1"/>
    <n v="24"/>
    <x v="4"/>
    <x v="0"/>
    <x v="2"/>
    <d v="2023-05-08T00:00:00"/>
    <n v="10"/>
    <n v="45856"/>
    <x v="1"/>
    <x v="0"/>
    <x v="6"/>
    <s v="Adult"/>
    <x v="6"/>
  </r>
  <r>
    <n v="239"/>
    <x v="0"/>
    <n v="6"/>
    <x v="2"/>
    <x v="2"/>
    <x v="2"/>
    <d v="2023-12-05T00:00:00"/>
    <n v="13"/>
    <n v="35576"/>
    <x v="1"/>
    <x v="0"/>
    <x v="1"/>
    <s v="Child"/>
    <x v="1"/>
  </r>
  <r>
    <n v="240"/>
    <x v="1"/>
    <n v="66"/>
    <x v="0"/>
    <x v="3"/>
    <x v="1"/>
    <d v="2024-01-01T00:00:00"/>
    <n v="3"/>
    <n v="43938"/>
    <x v="2"/>
    <x v="1"/>
    <x v="11"/>
    <s v="Senior"/>
    <x v="11"/>
  </r>
  <r>
    <n v="241"/>
    <x v="1"/>
    <n v="84"/>
    <x v="0"/>
    <x v="4"/>
    <x v="1"/>
    <d v="2023-03-11T00:00:00"/>
    <n v="3"/>
    <n v="34247"/>
    <x v="0"/>
    <x v="0"/>
    <x v="7"/>
    <s v="Senior"/>
    <x v="7"/>
  </r>
  <r>
    <n v="242"/>
    <x v="0"/>
    <n v="75"/>
    <x v="3"/>
    <x v="3"/>
    <x v="3"/>
    <d v="2023-08-09T00:00:00"/>
    <n v="3"/>
    <n v="45461"/>
    <x v="0"/>
    <x v="0"/>
    <x v="10"/>
    <s v="Senior"/>
    <x v="10"/>
  </r>
  <r>
    <n v="243"/>
    <x v="1"/>
    <n v="4"/>
    <x v="4"/>
    <x v="3"/>
    <x v="0"/>
    <d v="2023-01-10T00:00:00"/>
    <n v="6"/>
    <n v="29938"/>
    <x v="0"/>
    <x v="0"/>
    <x v="11"/>
    <s v="Child"/>
    <x v="11"/>
  </r>
  <r>
    <n v="244"/>
    <x v="0"/>
    <n v="79"/>
    <x v="0"/>
    <x v="2"/>
    <x v="1"/>
    <d v="2023-06-11T00:00:00"/>
    <n v="14"/>
    <n v="42469"/>
    <x v="1"/>
    <x v="0"/>
    <x v="4"/>
    <s v="Senior"/>
    <x v="4"/>
  </r>
  <r>
    <n v="245"/>
    <x v="0"/>
    <n v="6"/>
    <x v="2"/>
    <x v="3"/>
    <x v="1"/>
    <d v="2023-08-01T00:00:00"/>
    <n v="8"/>
    <n v="19600"/>
    <x v="1"/>
    <x v="0"/>
    <x v="10"/>
    <s v="Child"/>
    <x v="10"/>
  </r>
  <r>
    <n v="246"/>
    <x v="1"/>
    <n v="51"/>
    <x v="3"/>
    <x v="3"/>
    <x v="2"/>
    <d v="2023-07-27T00:00:00"/>
    <n v="11"/>
    <n v="22435"/>
    <x v="2"/>
    <x v="0"/>
    <x v="3"/>
    <s v="Middle Age"/>
    <x v="3"/>
  </r>
  <r>
    <n v="247"/>
    <x v="0"/>
    <n v="62"/>
    <x v="5"/>
    <x v="1"/>
    <x v="1"/>
    <d v="2023-02-04T00:00:00"/>
    <n v="7"/>
    <n v="20581"/>
    <x v="0"/>
    <x v="0"/>
    <x v="9"/>
    <s v="Senior"/>
    <x v="9"/>
  </r>
  <r>
    <n v="248"/>
    <x v="0"/>
    <n v="57"/>
    <x v="0"/>
    <x v="2"/>
    <x v="1"/>
    <d v="2023-06-03T00:00:00"/>
    <n v="14"/>
    <n v="16191"/>
    <x v="1"/>
    <x v="0"/>
    <x v="4"/>
    <s v="Middle Age"/>
    <x v="4"/>
  </r>
  <r>
    <n v="249"/>
    <x v="0"/>
    <n v="66"/>
    <x v="2"/>
    <x v="0"/>
    <x v="1"/>
    <d v="2023-11-18T00:00:00"/>
    <n v="4"/>
    <n v="21190"/>
    <x v="1"/>
    <x v="0"/>
    <x v="0"/>
    <s v="Senior"/>
    <x v="0"/>
  </r>
  <r>
    <n v="250"/>
    <x v="0"/>
    <n v="79"/>
    <x v="1"/>
    <x v="4"/>
    <x v="1"/>
    <d v="2023-02-21T00:00:00"/>
    <n v="11"/>
    <n v="29386"/>
    <x v="1"/>
    <x v="0"/>
    <x v="9"/>
    <s v="Senior"/>
    <x v="9"/>
  </r>
  <r>
    <n v="251"/>
    <x v="1"/>
    <n v="75"/>
    <x v="2"/>
    <x v="3"/>
    <x v="2"/>
    <d v="2023-12-12T00:00:00"/>
    <n v="12"/>
    <n v="33721"/>
    <x v="1"/>
    <x v="0"/>
    <x v="1"/>
    <s v="Senior"/>
    <x v="1"/>
  </r>
  <r>
    <n v="252"/>
    <x v="0"/>
    <n v="8"/>
    <x v="2"/>
    <x v="4"/>
    <x v="3"/>
    <d v="2023-05-17T00:00:00"/>
    <n v="4"/>
    <n v="15704"/>
    <x v="1"/>
    <x v="0"/>
    <x v="6"/>
    <s v="Child"/>
    <x v="6"/>
  </r>
  <r>
    <n v="253"/>
    <x v="1"/>
    <n v="26"/>
    <x v="3"/>
    <x v="0"/>
    <x v="3"/>
    <d v="2023-05-29T00:00:00"/>
    <n v="11"/>
    <n v="4123"/>
    <x v="1"/>
    <x v="0"/>
    <x v="6"/>
    <s v="Adult"/>
    <x v="6"/>
  </r>
  <r>
    <n v="254"/>
    <x v="0"/>
    <n v="51"/>
    <x v="5"/>
    <x v="4"/>
    <x v="0"/>
    <d v="2023-05-31T00:00:00"/>
    <n v="10"/>
    <n v="27174"/>
    <x v="1"/>
    <x v="0"/>
    <x v="6"/>
    <s v="Middle Age"/>
    <x v="6"/>
  </r>
  <r>
    <n v="255"/>
    <x v="0"/>
    <n v="45"/>
    <x v="1"/>
    <x v="0"/>
    <x v="1"/>
    <d v="2023-08-12T00:00:00"/>
    <n v="11"/>
    <n v="46301"/>
    <x v="1"/>
    <x v="0"/>
    <x v="10"/>
    <s v="Middle Age"/>
    <x v="10"/>
  </r>
  <r>
    <n v="256"/>
    <x v="0"/>
    <n v="44"/>
    <x v="4"/>
    <x v="1"/>
    <x v="2"/>
    <d v="2023-07-14T00:00:00"/>
    <n v="11"/>
    <n v="49216"/>
    <x v="2"/>
    <x v="0"/>
    <x v="3"/>
    <s v="Middle Age"/>
    <x v="3"/>
  </r>
  <r>
    <n v="257"/>
    <x v="0"/>
    <n v="5"/>
    <x v="4"/>
    <x v="3"/>
    <x v="0"/>
    <d v="2023-07-28T00:00:00"/>
    <n v="14"/>
    <n v="16586"/>
    <x v="1"/>
    <x v="0"/>
    <x v="3"/>
    <s v="Child"/>
    <x v="3"/>
  </r>
  <r>
    <n v="258"/>
    <x v="1"/>
    <n v="70"/>
    <x v="2"/>
    <x v="0"/>
    <x v="0"/>
    <d v="2023-05-19T00:00:00"/>
    <n v="11"/>
    <n v="33976"/>
    <x v="1"/>
    <x v="0"/>
    <x v="6"/>
    <s v="Senior"/>
    <x v="6"/>
  </r>
  <r>
    <n v="259"/>
    <x v="1"/>
    <n v="26"/>
    <x v="3"/>
    <x v="4"/>
    <x v="3"/>
    <d v="2023-07-25T00:00:00"/>
    <n v="2"/>
    <n v="27416"/>
    <x v="1"/>
    <x v="0"/>
    <x v="3"/>
    <s v="Adult"/>
    <x v="3"/>
  </r>
  <r>
    <n v="260"/>
    <x v="0"/>
    <n v="68"/>
    <x v="3"/>
    <x v="3"/>
    <x v="2"/>
    <d v="2023-04-03T00:00:00"/>
    <n v="14"/>
    <n v="3814"/>
    <x v="2"/>
    <x v="0"/>
    <x v="2"/>
    <s v="Senior"/>
    <x v="2"/>
  </r>
  <r>
    <n v="261"/>
    <x v="0"/>
    <n v="19"/>
    <x v="4"/>
    <x v="1"/>
    <x v="2"/>
    <d v="2023-02-17T00:00:00"/>
    <n v="1"/>
    <n v="15001"/>
    <x v="1"/>
    <x v="0"/>
    <x v="9"/>
    <s v="Adult"/>
    <x v="9"/>
  </r>
  <r>
    <n v="262"/>
    <x v="1"/>
    <n v="84"/>
    <x v="1"/>
    <x v="3"/>
    <x v="2"/>
    <d v="2023-09-19T00:00:00"/>
    <n v="9"/>
    <n v="18508"/>
    <x v="0"/>
    <x v="0"/>
    <x v="8"/>
    <s v="Senior"/>
    <x v="8"/>
  </r>
  <r>
    <n v="263"/>
    <x v="0"/>
    <n v="20"/>
    <x v="5"/>
    <x v="0"/>
    <x v="3"/>
    <d v="2023-05-03T00:00:00"/>
    <n v="12"/>
    <n v="21630"/>
    <x v="1"/>
    <x v="0"/>
    <x v="6"/>
    <s v="Adult"/>
    <x v="6"/>
  </r>
  <r>
    <n v="264"/>
    <x v="0"/>
    <n v="12"/>
    <x v="1"/>
    <x v="1"/>
    <x v="3"/>
    <d v="2023-07-30T00:00:00"/>
    <n v="12"/>
    <n v="15380"/>
    <x v="0"/>
    <x v="0"/>
    <x v="3"/>
    <s v="Child"/>
    <x v="3"/>
  </r>
  <r>
    <n v="265"/>
    <x v="0"/>
    <n v="47"/>
    <x v="0"/>
    <x v="4"/>
    <x v="3"/>
    <d v="2023-07-23T00:00:00"/>
    <n v="2"/>
    <n v="37699"/>
    <x v="0"/>
    <x v="0"/>
    <x v="3"/>
    <s v="Middle Age"/>
    <x v="3"/>
  </r>
  <r>
    <n v="266"/>
    <x v="1"/>
    <n v="1"/>
    <x v="0"/>
    <x v="1"/>
    <x v="3"/>
    <d v="2023-07-16T00:00:00"/>
    <n v="13"/>
    <n v="48335"/>
    <x v="1"/>
    <x v="0"/>
    <x v="3"/>
    <s v="Child"/>
    <x v="3"/>
  </r>
  <r>
    <n v="267"/>
    <x v="1"/>
    <n v="14"/>
    <x v="5"/>
    <x v="1"/>
    <x v="3"/>
    <d v="2023-06-20T00:00:00"/>
    <n v="8"/>
    <n v="48806"/>
    <x v="1"/>
    <x v="0"/>
    <x v="4"/>
    <s v="Child"/>
    <x v="4"/>
  </r>
  <r>
    <n v="268"/>
    <x v="1"/>
    <n v="64"/>
    <x v="4"/>
    <x v="2"/>
    <x v="1"/>
    <d v="2023-07-20T00:00:00"/>
    <n v="9"/>
    <n v="14317"/>
    <x v="1"/>
    <x v="0"/>
    <x v="3"/>
    <s v="Senior"/>
    <x v="3"/>
  </r>
  <r>
    <n v="269"/>
    <x v="0"/>
    <n v="38"/>
    <x v="5"/>
    <x v="1"/>
    <x v="1"/>
    <d v="2023-10-01T00:00:00"/>
    <n v="4"/>
    <n v="37739"/>
    <x v="1"/>
    <x v="0"/>
    <x v="5"/>
    <s v="Adult"/>
    <x v="5"/>
  </r>
  <r>
    <n v="270"/>
    <x v="0"/>
    <n v="37"/>
    <x v="3"/>
    <x v="1"/>
    <x v="2"/>
    <d v="2023-03-29T00:00:00"/>
    <n v="8"/>
    <n v="36785"/>
    <x v="1"/>
    <x v="0"/>
    <x v="7"/>
    <s v="Adult"/>
    <x v="7"/>
  </r>
  <r>
    <n v="271"/>
    <x v="1"/>
    <n v="11"/>
    <x v="0"/>
    <x v="3"/>
    <x v="0"/>
    <d v="2023-02-02T00:00:00"/>
    <n v="9"/>
    <n v="33980"/>
    <x v="1"/>
    <x v="0"/>
    <x v="9"/>
    <s v="Child"/>
    <x v="9"/>
  </r>
  <r>
    <n v="272"/>
    <x v="1"/>
    <n v="77"/>
    <x v="2"/>
    <x v="4"/>
    <x v="2"/>
    <d v="2023-10-26T00:00:00"/>
    <n v="10"/>
    <n v="25799"/>
    <x v="1"/>
    <x v="0"/>
    <x v="5"/>
    <s v="Senior"/>
    <x v="5"/>
  </r>
  <r>
    <n v="273"/>
    <x v="1"/>
    <n v="3"/>
    <x v="2"/>
    <x v="3"/>
    <x v="0"/>
    <d v="2023-12-17T00:00:00"/>
    <n v="10"/>
    <n v="37183"/>
    <x v="1"/>
    <x v="0"/>
    <x v="1"/>
    <s v="Child"/>
    <x v="1"/>
  </r>
  <r>
    <n v="274"/>
    <x v="1"/>
    <n v="33"/>
    <x v="4"/>
    <x v="3"/>
    <x v="3"/>
    <d v="2023-05-01T00:00:00"/>
    <n v="5"/>
    <n v="31166"/>
    <x v="1"/>
    <x v="0"/>
    <x v="6"/>
    <s v="Adult"/>
    <x v="6"/>
  </r>
  <r>
    <n v="275"/>
    <x v="0"/>
    <n v="6"/>
    <x v="3"/>
    <x v="0"/>
    <x v="0"/>
    <d v="2023-07-16T00:00:00"/>
    <n v="13"/>
    <n v="21480"/>
    <x v="1"/>
    <x v="0"/>
    <x v="3"/>
    <s v="Child"/>
    <x v="3"/>
  </r>
  <r>
    <n v="276"/>
    <x v="1"/>
    <n v="50"/>
    <x v="1"/>
    <x v="3"/>
    <x v="2"/>
    <d v="2023-01-20T00:00:00"/>
    <n v="14"/>
    <n v="3609"/>
    <x v="1"/>
    <x v="0"/>
    <x v="11"/>
    <s v="Middle Age"/>
    <x v="11"/>
  </r>
  <r>
    <n v="277"/>
    <x v="0"/>
    <n v="10"/>
    <x v="3"/>
    <x v="2"/>
    <x v="2"/>
    <d v="2023-11-14T00:00:00"/>
    <n v="7"/>
    <n v="2717"/>
    <x v="1"/>
    <x v="0"/>
    <x v="0"/>
    <s v="Child"/>
    <x v="0"/>
  </r>
  <r>
    <n v="278"/>
    <x v="1"/>
    <n v="5"/>
    <x v="2"/>
    <x v="2"/>
    <x v="0"/>
    <d v="2023-04-27T00:00:00"/>
    <n v="10"/>
    <n v="21945"/>
    <x v="1"/>
    <x v="0"/>
    <x v="2"/>
    <s v="Child"/>
    <x v="2"/>
  </r>
  <r>
    <n v="279"/>
    <x v="0"/>
    <n v="23"/>
    <x v="2"/>
    <x v="0"/>
    <x v="1"/>
    <d v="2023-06-12T00:00:00"/>
    <n v="4"/>
    <n v="27592"/>
    <x v="1"/>
    <x v="0"/>
    <x v="4"/>
    <s v="Adult"/>
    <x v="4"/>
  </r>
  <r>
    <n v="280"/>
    <x v="1"/>
    <n v="10"/>
    <x v="0"/>
    <x v="4"/>
    <x v="3"/>
    <d v="2023-06-20T00:00:00"/>
    <n v="1"/>
    <n v="30141"/>
    <x v="2"/>
    <x v="0"/>
    <x v="4"/>
    <s v="Child"/>
    <x v="4"/>
  </r>
  <r>
    <n v="281"/>
    <x v="1"/>
    <n v="44"/>
    <x v="3"/>
    <x v="4"/>
    <x v="3"/>
    <d v="2023-05-13T00:00:00"/>
    <n v="3"/>
    <n v="32009"/>
    <x v="1"/>
    <x v="0"/>
    <x v="6"/>
    <s v="Middle Age"/>
    <x v="6"/>
  </r>
  <r>
    <n v="282"/>
    <x v="1"/>
    <n v="2"/>
    <x v="3"/>
    <x v="3"/>
    <x v="2"/>
    <d v="2023-05-07T00:00:00"/>
    <n v="5"/>
    <n v="47430"/>
    <x v="1"/>
    <x v="0"/>
    <x v="6"/>
    <s v="Child"/>
    <x v="6"/>
  </r>
  <r>
    <n v="283"/>
    <x v="1"/>
    <n v="13"/>
    <x v="2"/>
    <x v="3"/>
    <x v="1"/>
    <d v="2023-11-08T00:00:00"/>
    <n v="3"/>
    <n v="8782"/>
    <x v="1"/>
    <x v="0"/>
    <x v="0"/>
    <s v="Child"/>
    <x v="0"/>
  </r>
  <r>
    <n v="284"/>
    <x v="0"/>
    <n v="40"/>
    <x v="1"/>
    <x v="3"/>
    <x v="0"/>
    <d v="2023-02-11T00:00:00"/>
    <n v="12"/>
    <n v="28536"/>
    <x v="2"/>
    <x v="0"/>
    <x v="9"/>
    <s v="Middle Age"/>
    <x v="9"/>
  </r>
  <r>
    <n v="285"/>
    <x v="1"/>
    <n v="2"/>
    <x v="4"/>
    <x v="4"/>
    <x v="3"/>
    <d v="2023-01-11T00:00:00"/>
    <n v="13"/>
    <n v="35816"/>
    <x v="2"/>
    <x v="0"/>
    <x v="11"/>
    <s v="Child"/>
    <x v="11"/>
  </r>
  <r>
    <n v="286"/>
    <x v="0"/>
    <n v="84"/>
    <x v="4"/>
    <x v="1"/>
    <x v="1"/>
    <d v="2023-12-21T00:00:00"/>
    <n v="11"/>
    <n v="27933"/>
    <x v="2"/>
    <x v="0"/>
    <x v="1"/>
    <s v="Senior"/>
    <x v="1"/>
  </r>
  <r>
    <n v="287"/>
    <x v="0"/>
    <n v="65"/>
    <x v="3"/>
    <x v="2"/>
    <x v="3"/>
    <d v="2023-07-01T00:00:00"/>
    <n v="7"/>
    <n v="13618"/>
    <x v="1"/>
    <x v="0"/>
    <x v="3"/>
    <s v="Senior"/>
    <x v="3"/>
  </r>
  <r>
    <n v="288"/>
    <x v="0"/>
    <n v="63"/>
    <x v="4"/>
    <x v="1"/>
    <x v="1"/>
    <d v="2023-06-24T00:00:00"/>
    <n v="12"/>
    <n v="10307"/>
    <x v="1"/>
    <x v="0"/>
    <x v="4"/>
    <s v="Senior"/>
    <x v="4"/>
  </r>
  <r>
    <n v="289"/>
    <x v="0"/>
    <n v="73"/>
    <x v="2"/>
    <x v="1"/>
    <x v="1"/>
    <d v="2023-08-06T00:00:00"/>
    <n v="9"/>
    <n v="28671"/>
    <x v="1"/>
    <x v="0"/>
    <x v="10"/>
    <s v="Senior"/>
    <x v="10"/>
  </r>
  <r>
    <n v="290"/>
    <x v="1"/>
    <n v="17"/>
    <x v="2"/>
    <x v="4"/>
    <x v="2"/>
    <d v="2023-03-24T00:00:00"/>
    <n v="12"/>
    <n v="42673"/>
    <x v="1"/>
    <x v="0"/>
    <x v="7"/>
    <s v="Child"/>
    <x v="7"/>
  </r>
  <r>
    <n v="291"/>
    <x v="0"/>
    <n v="9"/>
    <x v="3"/>
    <x v="1"/>
    <x v="3"/>
    <d v="2023-01-14T00:00:00"/>
    <n v="6"/>
    <n v="44761"/>
    <x v="0"/>
    <x v="0"/>
    <x v="11"/>
    <s v="Child"/>
    <x v="11"/>
  </r>
  <r>
    <n v="292"/>
    <x v="0"/>
    <n v="75"/>
    <x v="3"/>
    <x v="0"/>
    <x v="0"/>
    <d v="2023-06-12T00:00:00"/>
    <n v="13"/>
    <n v="12338"/>
    <x v="1"/>
    <x v="0"/>
    <x v="4"/>
    <s v="Senior"/>
    <x v="4"/>
  </r>
  <r>
    <n v="293"/>
    <x v="0"/>
    <n v="15"/>
    <x v="0"/>
    <x v="3"/>
    <x v="2"/>
    <d v="2023-05-25T00:00:00"/>
    <n v="10"/>
    <n v="40346"/>
    <x v="2"/>
    <x v="0"/>
    <x v="6"/>
    <s v="Child"/>
    <x v="6"/>
  </r>
  <r>
    <n v="294"/>
    <x v="1"/>
    <n v="24"/>
    <x v="3"/>
    <x v="0"/>
    <x v="2"/>
    <d v="2023-06-03T00:00:00"/>
    <n v="1"/>
    <n v="48602"/>
    <x v="1"/>
    <x v="0"/>
    <x v="4"/>
    <s v="Adult"/>
    <x v="4"/>
  </r>
  <r>
    <n v="295"/>
    <x v="1"/>
    <n v="38"/>
    <x v="1"/>
    <x v="2"/>
    <x v="0"/>
    <d v="2023-09-13T00:00:00"/>
    <n v="7"/>
    <n v="8548"/>
    <x v="2"/>
    <x v="0"/>
    <x v="8"/>
    <s v="Adult"/>
    <x v="8"/>
  </r>
  <r>
    <n v="296"/>
    <x v="1"/>
    <n v="35"/>
    <x v="4"/>
    <x v="3"/>
    <x v="2"/>
    <d v="2023-04-22T00:00:00"/>
    <n v="3"/>
    <n v="42149"/>
    <x v="1"/>
    <x v="0"/>
    <x v="2"/>
    <s v="Adult"/>
    <x v="2"/>
  </r>
  <r>
    <n v="297"/>
    <x v="1"/>
    <n v="49"/>
    <x v="3"/>
    <x v="1"/>
    <x v="1"/>
    <d v="2023-01-22T00:00:00"/>
    <n v="5"/>
    <n v="23164"/>
    <x v="1"/>
    <x v="0"/>
    <x v="11"/>
    <s v="Middle Age"/>
    <x v="11"/>
  </r>
  <r>
    <n v="298"/>
    <x v="0"/>
    <n v="69"/>
    <x v="5"/>
    <x v="2"/>
    <x v="1"/>
    <d v="2023-02-13T00:00:00"/>
    <n v="10"/>
    <n v="29526"/>
    <x v="1"/>
    <x v="0"/>
    <x v="9"/>
    <s v="Senior"/>
    <x v="9"/>
  </r>
  <r>
    <n v="299"/>
    <x v="0"/>
    <n v="62"/>
    <x v="0"/>
    <x v="3"/>
    <x v="3"/>
    <d v="2023-04-19T00:00:00"/>
    <n v="4"/>
    <n v="33222"/>
    <x v="1"/>
    <x v="0"/>
    <x v="2"/>
    <s v="Senior"/>
    <x v="2"/>
  </r>
  <r>
    <n v="300"/>
    <x v="1"/>
    <n v="60"/>
    <x v="5"/>
    <x v="1"/>
    <x v="3"/>
    <d v="2023-11-22T00:00:00"/>
    <n v="10"/>
    <n v="22176"/>
    <x v="1"/>
    <x v="0"/>
    <x v="0"/>
    <s v="Senior"/>
    <x v="0"/>
  </r>
  <r>
    <n v="301"/>
    <x v="0"/>
    <n v="50"/>
    <x v="2"/>
    <x v="0"/>
    <x v="0"/>
    <d v="2023-04-19T00:00:00"/>
    <n v="5"/>
    <n v="4941"/>
    <x v="2"/>
    <x v="0"/>
    <x v="2"/>
    <s v="Middle Age"/>
    <x v="2"/>
  </r>
  <r>
    <n v="302"/>
    <x v="0"/>
    <n v="78"/>
    <x v="4"/>
    <x v="3"/>
    <x v="3"/>
    <d v="2023-12-28T00:00:00"/>
    <n v="5"/>
    <n v="7695"/>
    <x v="1"/>
    <x v="0"/>
    <x v="1"/>
    <s v="Senior"/>
    <x v="1"/>
  </r>
  <r>
    <n v="303"/>
    <x v="0"/>
    <n v="75"/>
    <x v="3"/>
    <x v="1"/>
    <x v="1"/>
    <d v="2023-02-13T00:00:00"/>
    <n v="6"/>
    <n v="41169"/>
    <x v="1"/>
    <x v="0"/>
    <x v="9"/>
    <s v="Senior"/>
    <x v="9"/>
  </r>
  <r>
    <n v="304"/>
    <x v="1"/>
    <n v="9"/>
    <x v="5"/>
    <x v="0"/>
    <x v="0"/>
    <d v="2023-11-08T00:00:00"/>
    <n v="14"/>
    <n v="49947"/>
    <x v="1"/>
    <x v="0"/>
    <x v="0"/>
    <s v="Child"/>
    <x v="0"/>
  </r>
  <r>
    <n v="305"/>
    <x v="1"/>
    <n v="34"/>
    <x v="4"/>
    <x v="2"/>
    <x v="0"/>
    <d v="2023-11-26T00:00:00"/>
    <n v="10"/>
    <n v="49224"/>
    <x v="1"/>
    <x v="0"/>
    <x v="0"/>
    <s v="Adult"/>
    <x v="0"/>
  </r>
  <r>
    <n v="306"/>
    <x v="0"/>
    <n v="76"/>
    <x v="2"/>
    <x v="2"/>
    <x v="3"/>
    <d v="2023-01-13T00:00:00"/>
    <n v="12"/>
    <n v="47865"/>
    <x v="2"/>
    <x v="0"/>
    <x v="11"/>
    <s v="Senior"/>
    <x v="11"/>
  </r>
  <r>
    <n v="307"/>
    <x v="1"/>
    <n v="35"/>
    <x v="1"/>
    <x v="2"/>
    <x v="1"/>
    <d v="2023-07-23T00:00:00"/>
    <n v="10"/>
    <n v="27553"/>
    <x v="2"/>
    <x v="0"/>
    <x v="3"/>
    <s v="Adult"/>
    <x v="3"/>
  </r>
  <r>
    <n v="308"/>
    <x v="1"/>
    <n v="1"/>
    <x v="0"/>
    <x v="2"/>
    <x v="0"/>
    <d v="2023-09-02T00:00:00"/>
    <n v="13"/>
    <n v="40965"/>
    <x v="2"/>
    <x v="0"/>
    <x v="8"/>
    <s v="Child"/>
    <x v="8"/>
  </r>
  <r>
    <n v="309"/>
    <x v="1"/>
    <n v="40"/>
    <x v="4"/>
    <x v="4"/>
    <x v="1"/>
    <d v="2023-05-09T00:00:00"/>
    <n v="13"/>
    <n v="40218"/>
    <x v="2"/>
    <x v="0"/>
    <x v="6"/>
    <s v="Middle Age"/>
    <x v="6"/>
  </r>
  <r>
    <n v="310"/>
    <x v="1"/>
    <n v="64"/>
    <x v="4"/>
    <x v="3"/>
    <x v="1"/>
    <d v="2023-07-16T00:00:00"/>
    <n v="11"/>
    <n v="27359"/>
    <x v="2"/>
    <x v="0"/>
    <x v="3"/>
    <s v="Senior"/>
    <x v="3"/>
  </r>
  <r>
    <n v="311"/>
    <x v="1"/>
    <n v="22"/>
    <x v="1"/>
    <x v="3"/>
    <x v="1"/>
    <d v="2023-02-18T00:00:00"/>
    <n v="6"/>
    <n v="26816"/>
    <x v="1"/>
    <x v="0"/>
    <x v="9"/>
    <s v="Adult"/>
    <x v="9"/>
  </r>
  <r>
    <n v="312"/>
    <x v="0"/>
    <n v="60"/>
    <x v="4"/>
    <x v="4"/>
    <x v="3"/>
    <d v="2023-04-14T00:00:00"/>
    <n v="8"/>
    <n v="10378"/>
    <x v="2"/>
    <x v="0"/>
    <x v="2"/>
    <s v="Senior"/>
    <x v="2"/>
  </r>
  <r>
    <n v="313"/>
    <x v="1"/>
    <n v="64"/>
    <x v="2"/>
    <x v="1"/>
    <x v="2"/>
    <d v="2023-05-21T00:00:00"/>
    <n v="8"/>
    <n v="3881"/>
    <x v="1"/>
    <x v="0"/>
    <x v="6"/>
    <s v="Senior"/>
    <x v="6"/>
  </r>
  <r>
    <n v="314"/>
    <x v="0"/>
    <n v="72"/>
    <x v="2"/>
    <x v="1"/>
    <x v="2"/>
    <d v="2023-08-21T00:00:00"/>
    <n v="11"/>
    <n v="41567"/>
    <x v="1"/>
    <x v="0"/>
    <x v="10"/>
    <s v="Senior"/>
    <x v="10"/>
  </r>
  <r>
    <n v="315"/>
    <x v="0"/>
    <n v="11"/>
    <x v="1"/>
    <x v="2"/>
    <x v="0"/>
    <d v="2023-04-30T00:00:00"/>
    <n v="9"/>
    <n v="49365"/>
    <x v="1"/>
    <x v="0"/>
    <x v="2"/>
    <s v="Child"/>
    <x v="2"/>
  </r>
  <r>
    <n v="316"/>
    <x v="1"/>
    <n v="14"/>
    <x v="0"/>
    <x v="0"/>
    <x v="1"/>
    <d v="2023-07-22T00:00:00"/>
    <n v="8"/>
    <n v="15675"/>
    <x v="2"/>
    <x v="0"/>
    <x v="3"/>
    <s v="Child"/>
    <x v="3"/>
  </r>
  <r>
    <n v="317"/>
    <x v="0"/>
    <n v="60"/>
    <x v="3"/>
    <x v="1"/>
    <x v="3"/>
    <d v="2023-06-07T00:00:00"/>
    <n v="13"/>
    <n v="6586"/>
    <x v="2"/>
    <x v="0"/>
    <x v="4"/>
    <s v="Senior"/>
    <x v="4"/>
  </r>
  <r>
    <n v="318"/>
    <x v="0"/>
    <n v="30"/>
    <x v="5"/>
    <x v="0"/>
    <x v="1"/>
    <d v="2023-11-26T00:00:00"/>
    <n v="11"/>
    <n v="27006"/>
    <x v="1"/>
    <x v="0"/>
    <x v="0"/>
    <s v="Adult"/>
    <x v="0"/>
  </r>
  <r>
    <n v="319"/>
    <x v="0"/>
    <n v="35"/>
    <x v="3"/>
    <x v="3"/>
    <x v="1"/>
    <d v="2023-10-05T00:00:00"/>
    <n v="2"/>
    <n v="43198"/>
    <x v="2"/>
    <x v="0"/>
    <x v="5"/>
    <s v="Adult"/>
    <x v="5"/>
  </r>
  <r>
    <n v="320"/>
    <x v="1"/>
    <n v="85"/>
    <x v="4"/>
    <x v="0"/>
    <x v="3"/>
    <d v="2023-05-10T00:00:00"/>
    <n v="14"/>
    <n v="24831"/>
    <x v="0"/>
    <x v="0"/>
    <x v="6"/>
    <s v="Senior"/>
    <x v="6"/>
  </r>
  <r>
    <n v="321"/>
    <x v="1"/>
    <n v="37"/>
    <x v="5"/>
    <x v="3"/>
    <x v="2"/>
    <d v="2023-02-26T00:00:00"/>
    <n v="14"/>
    <n v="37113"/>
    <x v="1"/>
    <x v="0"/>
    <x v="9"/>
    <s v="Adult"/>
    <x v="9"/>
  </r>
  <r>
    <n v="322"/>
    <x v="0"/>
    <n v="5"/>
    <x v="1"/>
    <x v="4"/>
    <x v="1"/>
    <d v="2023-07-08T00:00:00"/>
    <n v="12"/>
    <n v="18459"/>
    <x v="1"/>
    <x v="0"/>
    <x v="3"/>
    <s v="Child"/>
    <x v="3"/>
  </r>
  <r>
    <n v="323"/>
    <x v="1"/>
    <n v="83"/>
    <x v="1"/>
    <x v="4"/>
    <x v="1"/>
    <d v="2023-03-29T00:00:00"/>
    <n v="10"/>
    <n v="34443"/>
    <x v="2"/>
    <x v="0"/>
    <x v="7"/>
    <s v="Senior"/>
    <x v="7"/>
  </r>
  <r>
    <n v="324"/>
    <x v="1"/>
    <n v="78"/>
    <x v="0"/>
    <x v="2"/>
    <x v="2"/>
    <d v="2023-07-17T00:00:00"/>
    <n v="12"/>
    <n v="44316"/>
    <x v="1"/>
    <x v="0"/>
    <x v="3"/>
    <s v="Senior"/>
    <x v="3"/>
  </r>
  <r>
    <n v="325"/>
    <x v="1"/>
    <n v="26"/>
    <x v="5"/>
    <x v="1"/>
    <x v="3"/>
    <d v="2023-12-20T00:00:00"/>
    <n v="11"/>
    <n v="32595"/>
    <x v="1"/>
    <x v="0"/>
    <x v="1"/>
    <s v="Adult"/>
    <x v="1"/>
  </r>
  <r>
    <n v="326"/>
    <x v="1"/>
    <n v="62"/>
    <x v="2"/>
    <x v="2"/>
    <x v="0"/>
    <d v="2023-11-16T00:00:00"/>
    <n v="1"/>
    <n v="7877"/>
    <x v="1"/>
    <x v="0"/>
    <x v="0"/>
    <s v="Senior"/>
    <x v="0"/>
  </r>
  <r>
    <n v="327"/>
    <x v="0"/>
    <n v="4"/>
    <x v="5"/>
    <x v="3"/>
    <x v="2"/>
    <d v="2023-03-01T00:00:00"/>
    <n v="10"/>
    <n v="41553"/>
    <x v="1"/>
    <x v="0"/>
    <x v="7"/>
    <s v="Child"/>
    <x v="7"/>
  </r>
  <r>
    <n v="328"/>
    <x v="0"/>
    <n v="89"/>
    <x v="4"/>
    <x v="2"/>
    <x v="0"/>
    <d v="2023-04-30T00:00:00"/>
    <n v="2"/>
    <n v="6922"/>
    <x v="2"/>
    <x v="0"/>
    <x v="2"/>
    <s v="Senior"/>
    <x v="2"/>
  </r>
  <r>
    <n v="329"/>
    <x v="1"/>
    <n v="42"/>
    <x v="2"/>
    <x v="0"/>
    <x v="0"/>
    <d v="2023-10-09T00:00:00"/>
    <n v="2"/>
    <n v="6686"/>
    <x v="1"/>
    <x v="0"/>
    <x v="5"/>
    <s v="Middle Age"/>
    <x v="5"/>
  </r>
  <r>
    <n v="330"/>
    <x v="1"/>
    <n v="89"/>
    <x v="1"/>
    <x v="3"/>
    <x v="2"/>
    <d v="2023-12-16T00:00:00"/>
    <n v="12"/>
    <n v="34766"/>
    <x v="2"/>
    <x v="0"/>
    <x v="1"/>
    <s v="Senior"/>
    <x v="1"/>
  </r>
  <r>
    <n v="331"/>
    <x v="0"/>
    <n v="18"/>
    <x v="5"/>
    <x v="4"/>
    <x v="1"/>
    <d v="2023-07-02T00:00:00"/>
    <n v="3"/>
    <n v="16407"/>
    <x v="2"/>
    <x v="0"/>
    <x v="3"/>
    <s v="Adult"/>
    <x v="3"/>
  </r>
  <r>
    <n v="332"/>
    <x v="0"/>
    <n v="40"/>
    <x v="3"/>
    <x v="1"/>
    <x v="0"/>
    <d v="2023-06-26T00:00:00"/>
    <n v="10"/>
    <n v="34006"/>
    <x v="2"/>
    <x v="0"/>
    <x v="4"/>
    <s v="Middle Age"/>
    <x v="4"/>
  </r>
  <r>
    <n v="333"/>
    <x v="1"/>
    <n v="72"/>
    <x v="0"/>
    <x v="3"/>
    <x v="0"/>
    <d v="2023-09-07T00:00:00"/>
    <n v="7"/>
    <n v="33422"/>
    <x v="1"/>
    <x v="0"/>
    <x v="8"/>
    <s v="Senior"/>
    <x v="8"/>
  </r>
  <r>
    <n v="334"/>
    <x v="0"/>
    <n v="39"/>
    <x v="3"/>
    <x v="3"/>
    <x v="3"/>
    <d v="2023-01-10T00:00:00"/>
    <n v="2"/>
    <n v="14205"/>
    <x v="1"/>
    <x v="0"/>
    <x v="11"/>
    <s v="Adult"/>
    <x v="11"/>
  </r>
  <r>
    <n v="335"/>
    <x v="1"/>
    <n v="14"/>
    <x v="0"/>
    <x v="0"/>
    <x v="1"/>
    <d v="2023-06-12T00:00:00"/>
    <n v="14"/>
    <n v="23054"/>
    <x v="1"/>
    <x v="0"/>
    <x v="4"/>
    <s v="Child"/>
    <x v="4"/>
  </r>
  <r>
    <n v="336"/>
    <x v="1"/>
    <n v="32"/>
    <x v="4"/>
    <x v="1"/>
    <x v="0"/>
    <d v="2023-08-11T00:00:00"/>
    <n v="1"/>
    <n v="25527"/>
    <x v="1"/>
    <x v="0"/>
    <x v="10"/>
    <s v="Adult"/>
    <x v="10"/>
  </r>
  <r>
    <n v="337"/>
    <x v="0"/>
    <n v="51"/>
    <x v="3"/>
    <x v="4"/>
    <x v="3"/>
    <d v="2023-10-04T00:00:00"/>
    <n v="14"/>
    <n v="47947"/>
    <x v="2"/>
    <x v="0"/>
    <x v="5"/>
    <s v="Middle Age"/>
    <x v="5"/>
  </r>
  <r>
    <n v="338"/>
    <x v="0"/>
    <n v="38"/>
    <x v="5"/>
    <x v="3"/>
    <x v="1"/>
    <d v="2023-06-29T00:00:00"/>
    <n v="6"/>
    <n v="20443"/>
    <x v="1"/>
    <x v="0"/>
    <x v="4"/>
    <s v="Adult"/>
    <x v="4"/>
  </r>
  <r>
    <n v="339"/>
    <x v="1"/>
    <n v="23"/>
    <x v="5"/>
    <x v="3"/>
    <x v="2"/>
    <d v="2023-09-18T00:00:00"/>
    <n v="9"/>
    <n v="18524"/>
    <x v="1"/>
    <x v="0"/>
    <x v="8"/>
    <s v="Adult"/>
    <x v="8"/>
  </r>
  <r>
    <n v="340"/>
    <x v="1"/>
    <n v="63"/>
    <x v="3"/>
    <x v="0"/>
    <x v="2"/>
    <d v="2023-09-19T00:00:00"/>
    <n v="3"/>
    <n v="30202"/>
    <x v="1"/>
    <x v="0"/>
    <x v="8"/>
    <s v="Senior"/>
    <x v="8"/>
  </r>
  <r>
    <n v="341"/>
    <x v="0"/>
    <n v="15"/>
    <x v="5"/>
    <x v="2"/>
    <x v="3"/>
    <d v="2023-03-04T00:00:00"/>
    <n v="6"/>
    <n v="2016"/>
    <x v="2"/>
    <x v="0"/>
    <x v="7"/>
    <s v="Child"/>
    <x v="7"/>
  </r>
  <r>
    <n v="342"/>
    <x v="1"/>
    <n v="25"/>
    <x v="4"/>
    <x v="4"/>
    <x v="2"/>
    <d v="2023-04-24T00:00:00"/>
    <n v="3"/>
    <n v="48142"/>
    <x v="2"/>
    <x v="0"/>
    <x v="2"/>
    <s v="Adult"/>
    <x v="2"/>
  </r>
  <r>
    <n v="343"/>
    <x v="0"/>
    <n v="17"/>
    <x v="2"/>
    <x v="1"/>
    <x v="0"/>
    <d v="2023-06-09T00:00:00"/>
    <n v="14"/>
    <n v="18848"/>
    <x v="1"/>
    <x v="0"/>
    <x v="4"/>
    <s v="Child"/>
    <x v="4"/>
  </r>
  <r>
    <n v="344"/>
    <x v="1"/>
    <n v="66"/>
    <x v="4"/>
    <x v="3"/>
    <x v="1"/>
    <d v="2023-01-27T00:00:00"/>
    <n v="13"/>
    <n v="22855"/>
    <x v="2"/>
    <x v="0"/>
    <x v="11"/>
    <s v="Senior"/>
    <x v="11"/>
  </r>
  <r>
    <n v="345"/>
    <x v="0"/>
    <n v="78"/>
    <x v="0"/>
    <x v="3"/>
    <x v="0"/>
    <d v="2023-09-25T00:00:00"/>
    <n v="1"/>
    <n v="20211"/>
    <x v="1"/>
    <x v="0"/>
    <x v="8"/>
    <s v="Senior"/>
    <x v="8"/>
  </r>
  <r>
    <n v="346"/>
    <x v="0"/>
    <n v="53"/>
    <x v="4"/>
    <x v="4"/>
    <x v="0"/>
    <d v="2023-03-12T00:00:00"/>
    <n v="14"/>
    <n v="27095"/>
    <x v="1"/>
    <x v="0"/>
    <x v="7"/>
    <s v="Middle Age"/>
    <x v="7"/>
  </r>
  <r>
    <n v="347"/>
    <x v="0"/>
    <n v="51"/>
    <x v="0"/>
    <x v="2"/>
    <x v="2"/>
    <d v="2023-11-15T00:00:00"/>
    <n v="13"/>
    <n v="40724"/>
    <x v="2"/>
    <x v="0"/>
    <x v="0"/>
    <s v="Middle Age"/>
    <x v="0"/>
  </r>
  <r>
    <n v="348"/>
    <x v="1"/>
    <n v="39"/>
    <x v="5"/>
    <x v="3"/>
    <x v="0"/>
    <d v="2023-06-07T00:00:00"/>
    <n v="12"/>
    <n v="39583"/>
    <x v="1"/>
    <x v="0"/>
    <x v="4"/>
    <s v="Adult"/>
    <x v="4"/>
  </r>
  <r>
    <n v="349"/>
    <x v="1"/>
    <n v="51"/>
    <x v="2"/>
    <x v="4"/>
    <x v="2"/>
    <d v="2023-09-07T00:00:00"/>
    <n v="5"/>
    <n v="4843"/>
    <x v="0"/>
    <x v="0"/>
    <x v="8"/>
    <s v="Middle Age"/>
    <x v="8"/>
  </r>
  <r>
    <n v="350"/>
    <x v="0"/>
    <n v="70"/>
    <x v="5"/>
    <x v="0"/>
    <x v="1"/>
    <d v="2023-12-04T00:00:00"/>
    <n v="10"/>
    <n v="31301"/>
    <x v="1"/>
    <x v="0"/>
    <x v="1"/>
    <s v="Senior"/>
    <x v="1"/>
  </r>
  <r>
    <n v="351"/>
    <x v="1"/>
    <n v="6"/>
    <x v="1"/>
    <x v="2"/>
    <x v="1"/>
    <d v="2023-02-12T00:00:00"/>
    <n v="14"/>
    <n v="28460"/>
    <x v="1"/>
    <x v="0"/>
    <x v="9"/>
    <s v="Child"/>
    <x v="9"/>
  </r>
  <r>
    <n v="352"/>
    <x v="0"/>
    <n v="67"/>
    <x v="5"/>
    <x v="1"/>
    <x v="0"/>
    <d v="2023-01-23T00:00:00"/>
    <n v="13"/>
    <n v="33918"/>
    <x v="0"/>
    <x v="0"/>
    <x v="11"/>
    <s v="Senior"/>
    <x v="11"/>
  </r>
  <r>
    <n v="353"/>
    <x v="0"/>
    <n v="7"/>
    <x v="0"/>
    <x v="3"/>
    <x v="3"/>
    <d v="2023-10-15T00:00:00"/>
    <n v="11"/>
    <n v="30747"/>
    <x v="1"/>
    <x v="0"/>
    <x v="5"/>
    <s v="Child"/>
    <x v="5"/>
  </r>
  <r>
    <n v="354"/>
    <x v="1"/>
    <n v="51"/>
    <x v="5"/>
    <x v="4"/>
    <x v="2"/>
    <d v="2023-10-12T00:00:00"/>
    <n v="4"/>
    <n v="17972"/>
    <x v="0"/>
    <x v="0"/>
    <x v="5"/>
    <s v="Middle Age"/>
    <x v="5"/>
  </r>
  <r>
    <n v="355"/>
    <x v="1"/>
    <n v="72"/>
    <x v="5"/>
    <x v="0"/>
    <x v="2"/>
    <d v="2023-04-08T00:00:00"/>
    <n v="7"/>
    <n v="30310"/>
    <x v="0"/>
    <x v="0"/>
    <x v="2"/>
    <s v="Senior"/>
    <x v="2"/>
  </r>
  <r>
    <n v="356"/>
    <x v="0"/>
    <n v="42"/>
    <x v="2"/>
    <x v="1"/>
    <x v="0"/>
    <d v="2023-07-23T00:00:00"/>
    <n v="6"/>
    <n v="24927"/>
    <x v="1"/>
    <x v="0"/>
    <x v="3"/>
    <s v="Middle Age"/>
    <x v="3"/>
  </r>
  <r>
    <n v="357"/>
    <x v="1"/>
    <n v="64"/>
    <x v="5"/>
    <x v="4"/>
    <x v="2"/>
    <d v="2023-10-27T00:00:00"/>
    <n v="10"/>
    <n v="3094"/>
    <x v="1"/>
    <x v="0"/>
    <x v="5"/>
    <s v="Senior"/>
    <x v="5"/>
  </r>
  <r>
    <n v="358"/>
    <x v="1"/>
    <n v="15"/>
    <x v="2"/>
    <x v="4"/>
    <x v="2"/>
    <d v="2023-06-27T00:00:00"/>
    <n v="7"/>
    <n v="40892"/>
    <x v="1"/>
    <x v="0"/>
    <x v="4"/>
    <s v="Child"/>
    <x v="4"/>
  </r>
  <r>
    <n v="359"/>
    <x v="0"/>
    <n v="29"/>
    <x v="3"/>
    <x v="1"/>
    <x v="3"/>
    <d v="2023-01-11T00:00:00"/>
    <n v="5"/>
    <n v="36172"/>
    <x v="1"/>
    <x v="0"/>
    <x v="11"/>
    <s v="Adult"/>
    <x v="11"/>
  </r>
  <r>
    <n v="360"/>
    <x v="0"/>
    <n v="33"/>
    <x v="1"/>
    <x v="0"/>
    <x v="3"/>
    <d v="2023-07-14T00:00:00"/>
    <n v="4"/>
    <n v="25324"/>
    <x v="1"/>
    <x v="0"/>
    <x v="3"/>
    <s v="Adult"/>
    <x v="3"/>
  </r>
  <r>
    <n v="361"/>
    <x v="1"/>
    <n v="27"/>
    <x v="2"/>
    <x v="0"/>
    <x v="0"/>
    <d v="2023-05-08T00:00:00"/>
    <n v="7"/>
    <n v="22674"/>
    <x v="1"/>
    <x v="0"/>
    <x v="6"/>
    <s v="Adult"/>
    <x v="6"/>
  </r>
  <r>
    <n v="362"/>
    <x v="0"/>
    <n v="36"/>
    <x v="0"/>
    <x v="2"/>
    <x v="3"/>
    <d v="2023-02-02T00:00:00"/>
    <n v="7"/>
    <n v="5982"/>
    <x v="1"/>
    <x v="0"/>
    <x v="9"/>
    <s v="Adult"/>
    <x v="9"/>
  </r>
  <r>
    <n v="363"/>
    <x v="0"/>
    <n v="29"/>
    <x v="3"/>
    <x v="3"/>
    <x v="0"/>
    <d v="2023-03-24T00:00:00"/>
    <n v="6"/>
    <n v="47283"/>
    <x v="1"/>
    <x v="0"/>
    <x v="7"/>
    <s v="Adult"/>
    <x v="7"/>
  </r>
  <r>
    <n v="364"/>
    <x v="1"/>
    <n v="38"/>
    <x v="2"/>
    <x v="1"/>
    <x v="1"/>
    <d v="2023-03-26T00:00:00"/>
    <n v="8"/>
    <n v="17790"/>
    <x v="0"/>
    <x v="0"/>
    <x v="7"/>
    <s v="Adult"/>
    <x v="7"/>
  </r>
  <r>
    <n v="365"/>
    <x v="0"/>
    <n v="57"/>
    <x v="2"/>
    <x v="1"/>
    <x v="0"/>
    <d v="2023-06-12T00:00:00"/>
    <n v="4"/>
    <n v="14205"/>
    <x v="2"/>
    <x v="0"/>
    <x v="4"/>
    <s v="Middle Age"/>
    <x v="4"/>
  </r>
  <r>
    <n v="366"/>
    <x v="0"/>
    <n v="27"/>
    <x v="1"/>
    <x v="1"/>
    <x v="1"/>
    <d v="2023-09-25T00:00:00"/>
    <n v="10"/>
    <n v="26338"/>
    <x v="2"/>
    <x v="0"/>
    <x v="8"/>
    <s v="Adult"/>
    <x v="8"/>
  </r>
  <r>
    <n v="367"/>
    <x v="1"/>
    <n v="55"/>
    <x v="0"/>
    <x v="0"/>
    <x v="0"/>
    <d v="2023-05-23T00:00:00"/>
    <n v="5"/>
    <n v="14748"/>
    <x v="1"/>
    <x v="0"/>
    <x v="6"/>
    <s v="Middle Age"/>
    <x v="6"/>
  </r>
  <r>
    <n v="368"/>
    <x v="1"/>
    <n v="33"/>
    <x v="4"/>
    <x v="3"/>
    <x v="2"/>
    <d v="2023-05-05T00:00:00"/>
    <n v="4"/>
    <n v="23097"/>
    <x v="2"/>
    <x v="0"/>
    <x v="6"/>
    <s v="Adult"/>
    <x v="6"/>
  </r>
  <r>
    <n v="369"/>
    <x v="0"/>
    <n v="68"/>
    <x v="4"/>
    <x v="2"/>
    <x v="3"/>
    <d v="2023-06-11T00:00:00"/>
    <n v="12"/>
    <n v="5092"/>
    <x v="1"/>
    <x v="0"/>
    <x v="4"/>
    <s v="Senior"/>
    <x v="4"/>
  </r>
  <r>
    <n v="370"/>
    <x v="0"/>
    <n v="86"/>
    <x v="2"/>
    <x v="4"/>
    <x v="1"/>
    <d v="2023-12-04T00:00:00"/>
    <n v="1"/>
    <n v="24692"/>
    <x v="2"/>
    <x v="0"/>
    <x v="1"/>
    <s v="Senior"/>
    <x v="1"/>
  </r>
  <r>
    <n v="371"/>
    <x v="1"/>
    <n v="66"/>
    <x v="5"/>
    <x v="4"/>
    <x v="0"/>
    <d v="2023-04-08T00:00:00"/>
    <n v="12"/>
    <n v="25862"/>
    <x v="0"/>
    <x v="0"/>
    <x v="2"/>
    <s v="Senior"/>
    <x v="2"/>
  </r>
  <r>
    <n v="372"/>
    <x v="1"/>
    <n v="10"/>
    <x v="0"/>
    <x v="1"/>
    <x v="3"/>
    <d v="2023-07-16T00:00:00"/>
    <n v="8"/>
    <n v="26860"/>
    <x v="1"/>
    <x v="0"/>
    <x v="3"/>
    <s v="Child"/>
    <x v="3"/>
  </r>
  <r>
    <n v="373"/>
    <x v="1"/>
    <n v="5"/>
    <x v="3"/>
    <x v="3"/>
    <x v="0"/>
    <d v="2023-12-02T00:00:00"/>
    <n v="1"/>
    <n v="15971"/>
    <x v="1"/>
    <x v="0"/>
    <x v="1"/>
    <s v="Child"/>
    <x v="1"/>
  </r>
  <r>
    <n v="374"/>
    <x v="1"/>
    <n v="74"/>
    <x v="5"/>
    <x v="0"/>
    <x v="3"/>
    <d v="2023-12-03T00:00:00"/>
    <n v="5"/>
    <n v="16616"/>
    <x v="2"/>
    <x v="0"/>
    <x v="1"/>
    <s v="Senior"/>
    <x v="1"/>
  </r>
  <r>
    <n v="375"/>
    <x v="0"/>
    <n v="38"/>
    <x v="5"/>
    <x v="3"/>
    <x v="3"/>
    <d v="2023-11-28T00:00:00"/>
    <n v="6"/>
    <n v="6933"/>
    <x v="0"/>
    <x v="0"/>
    <x v="0"/>
    <s v="Adult"/>
    <x v="0"/>
  </r>
  <r>
    <n v="376"/>
    <x v="1"/>
    <n v="13"/>
    <x v="0"/>
    <x v="3"/>
    <x v="0"/>
    <d v="2023-06-05T00:00:00"/>
    <n v="6"/>
    <n v="6926"/>
    <x v="2"/>
    <x v="0"/>
    <x v="4"/>
    <s v="Child"/>
    <x v="4"/>
  </r>
  <r>
    <n v="377"/>
    <x v="1"/>
    <n v="31"/>
    <x v="2"/>
    <x v="0"/>
    <x v="1"/>
    <d v="2023-10-11T00:00:00"/>
    <n v="13"/>
    <n v="27763"/>
    <x v="1"/>
    <x v="0"/>
    <x v="5"/>
    <s v="Adult"/>
    <x v="5"/>
  </r>
  <r>
    <n v="378"/>
    <x v="0"/>
    <n v="47"/>
    <x v="2"/>
    <x v="1"/>
    <x v="1"/>
    <d v="2023-09-03T00:00:00"/>
    <n v="5"/>
    <n v="5969"/>
    <x v="1"/>
    <x v="0"/>
    <x v="8"/>
    <s v="Middle Age"/>
    <x v="8"/>
  </r>
  <r>
    <n v="379"/>
    <x v="1"/>
    <n v="88"/>
    <x v="2"/>
    <x v="3"/>
    <x v="2"/>
    <d v="2023-08-28T00:00:00"/>
    <n v="3"/>
    <n v="37733"/>
    <x v="1"/>
    <x v="0"/>
    <x v="10"/>
    <s v="Senior"/>
    <x v="10"/>
  </r>
  <r>
    <n v="380"/>
    <x v="0"/>
    <n v="52"/>
    <x v="2"/>
    <x v="4"/>
    <x v="3"/>
    <d v="2023-06-30T00:00:00"/>
    <n v="5"/>
    <n v="6319"/>
    <x v="2"/>
    <x v="0"/>
    <x v="4"/>
    <s v="Middle Age"/>
    <x v="4"/>
  </r>
  <r>
    <n v="381"/>
    <x v="1"/>
    <n v="56"/>
    <x v="4"/>
    <x v="0"/>
    <x v="2"/>
    <d v="2023-06-16T00:00:00"/>
    <n v="12"/>
    <n v="43743"/>
    <x v="1"/>
    <x v="0"/>
    <x v="4"/>
    <s v="Middle Age"/>
    <x v="4"/>
  </r>
  <r>
    <n v="382"/>
    <x v="1"/>
    <n v="15"/>
    <x v="2"/>
    <x v="2"/>
    <x v="2"/>
    <d v="2023-12-09T00:00:00"/>
    <n v="8"/>
    <n v="41876"/>
    <x v="2"/>
    <x v="0"/>
    <x v="1"/>
    <s v="Child"/>
    <x v="1"/>
  </r>
  <r>
    <n v="383"/>
    <x v="1"/>
    <n v="29"/>
    <x v="4"/>
    <x v="1"/>
    <x v="0"/>
    <d v="2023-04-05T00:00:00"/>
    <n v="14"/>
    <n v="43909"/>
    <x v="1"/>
    <x v="0"/>
    <x v="2"/>
    <s v="Adult"/>
    <x v="2"/>
  </r>
  <r>
    <n v="384"/>
    <x v="0"/>
    <n v="8"/>
    <x v="4"/>
    <x v="0"/>
    <x v="0"/>
    <d v="2023-12-23T00:00:00"/>
    <n v="2"/>
    <n v="22323"/>
    <x v="1"/>
    <x v="0"/>
    <x v="1"/>
    <s v="Child"/>
    <x v="1"/>
  </r>
  <r>
    <n v="385"/>
    <x v="0"/>
    <n v="5"/>
    <x v="2"/>
    <x v="2"/>
    <x v="0"/>
    <d v="2023-09-15T00:00:00"/>
    <n v="6"/>
    <n v="18428"/>
    <x v="1"/>
    <x v="0"/>
    <x v="8"/>
    <s v="Child"/>
    <x v="8"/>
  </r>
  <r>
    <n v="386"/>
    <x v="1"/>
    <n v="29"/>
    <x v="1"/>
    <x v="2"/>
    <x v="3"/>
    <d v="2023-12-28T00:00:00"/>
    <n v="9"/>
    <n v="36578"/>
    <x v="2"/>
    <x v="0"/>
    <x v="1"/>
    <s v="Adult"/>
    <x v="1"/>
  </r>
  <r>
    <n v="387"/>
    <x v="0"/>
    <n v="47"/>
    <x v="3"/>
    <x v="3"/>
    <x v="0"/>
    <d v="2023-07-08T00:00:00"/>
    <n v="8"/>
    <n v="22950"/>
    <x v="1"/>
    <x v="0"/>
    <x v="3"/>
    <s v="Middle Age"/>
    <x v="3"/>
  </r>
  <r>
    <n v="388"/>
    <x v="0"/>
    <n v="68"/>
    <x v="5"/>
    <x v="3"/>
    <x v="0"/>
    <d v="2023-06-12T00:00:00"/>
    <n v="14"/>
    <n v="45041"/>
    <x v="1"/>
    <x v="0"/>
    <x v="4"/>
    <s v="Senior"/>
    <x v="4"/>
  </r>
  <r>
    <n v="389"/>
    <x v="0"/>
    <n v="76"/>
    <x v="4"/>
    <x v="3"/>
    <x v="3"/>
    <d v="2023-02-17T00:00:00"/>
    <n v="11"/>
    <n v="43789"/>
    <x v="1"/>
    <x v="0"/>
    <x v="9"/>
    <s v="Senior"/>
    <x v="9"/>
  </r>
  <r>
    <n v="390"/>
    <x v="0"/>
    <n v="45"/>
    <x v="0"/>
    <x v="0"/>
    <x v="3"/>
    <d v="2023-09-16T00:00:00"/>
    <n v="8"/>
    <n v="20293"/>
    <x v="1"/>
    <x v="0"/>
    <x v="8"/>
    <s v="Middle Age"/>
    <x v="8"/>
  </r>
  <r>
    <n v="391"/>
    <x v="0"/>
    <n v="2"/>
    <x v="0"/>
    <x v="0"/>
    <x v="1"/>
    <d v="2023-05-20T00:00:00"/>
    <n v="8"/>
    <n v="8364"/>
    <x v="1"/>
    <x v="0"/>
    <x v="6"/>
    <s v="Child"/>
    <x v="6"/>
  </r>
  <r>
    <n v="392"/>
    <x v="0"/>
    <n v="27"/>
    <x v="3"/>
    <x v="1"/>
    <x v="0"/>
    <d v="2023-01-26T00:00:00"/>
    <n v="13"/>
    <n v="37349"/>
    <x v="2"/>
    <x v="0"/>
    <x v="11"/>
    <s v="Adult"/>
    <x v="11"/>
  </r>
  <r>
    <n v="393"/>
    <x v="1"/>
    <n v="36"/>
    <x v="0"/>
    <x v="3"/>
    <x v="0"/>
    <d v="2023-03-08T00:00:00"/>
    <n v="7"/>
    <n v="2691"/>
    <x v="1"/>
    <x v="0"/>
    <x v="7"/>
    <s v="Adult"/>
    <x v="7"/>
  </r>
  <r>
    <n v="394"/>
    <x v="1"/>
    <n v="36"/>
    <x v="1"/>
    <x v="2"/>
    <x v="0"/>
    <d v="2023-12-10T00:00:00"/>
    <n v="8"/>
    <n v="32062"/>
    <x v="1"/>
    <x v="0"/>
    <x v="1"/>
    <s v="Adult"/>
    <x v="1"/>
  </r>
  <r>
    <n v="395"/>
    <x v="0"/>
    <n v="26"/>
    <x v="0"/>
    <x v="4"/>
    <x v="1"/>
    <d v="2023-04-13T00:00:00"/>
    <n v="13"/>
    <n v="2931"/>
    <x v="2"/>
    <x v="0"/>
    <x v="2"/>
    <s v="Adult"/>
    <x v="2"/>
  </r>
  <r>
    <n v="396"/>
    <x v="1"/>
    <n v="43"/>
    <x v="5"/>
    <x v="1"/>
    <x v="0"/>
    <d v="2023-10-11T00:00:00"/>
    <n v="6"/>
    <n v="47896"/>
    <x v="0"/>
    <x v="0"/>
    <x v="5"/>
    <s v="Middle Age"/>
    <x v="5"/>
  </r>
  <r>
    <n v="397"/>
    <x v="1"/>
    <n v="27"/>
    <x v="5"/>
    <x v="0"/>
    <x v="1"/>
    <d v="2023-10-02T00:00:00"/>
    <n v="2"/>
    <n v="33730"/>
    <x v="1"/>
    <x v="0"/>
    <x v="5"/>
    <s v="Adult"/>
    <x v="5"/>
  </r>
  <r>
    <n v="398"/>
    <x v="1"/>
    <n v="69"/>
    <x v="4"/>
    <x v="1"/>
    <x v="2"/>
    <d v="2023-05-18T00:00:00"/>
    <n v="2"/>
    <n v="16226"/>
    <x v="1"/>
    <x v="0"/>
    <x v="6"/>
    <s v="Senior"/>
    <x v="6"/>
  </r>
  <r>
    <n v="399"/>
    <x v="1"/>
    <n v="20"/>
    <x v="2"/>
    <x v="1"/>
    <x v="1"/>
    <d v="2023-03-05T00:00:00"/>
    <n v="8"/>
    <n v="15861"/>
    <x v="2"/>
    <x v="0"/>
    <x v="7"/>
    <s v="Adult"/>
    <x v="7"/>
  </r>
  <r>
    <n v="400"/>
    <x v="0"/>
    <n v="11"/>
    <x v="1"/>
    <x v="1"/>
    <x v="2"/>
    <d v="2023-03-02T00:00:00"/>
    <n v="11"/>
    <n v="33301"/>
    <x v="0"/>
    <x v="0"/>
    <x v="7"/>
    <s v="Child"/>
    <x v="7"/>
  </r>
  <r>
    <n v="401"/>
    <x v="1"/>
    <n v="74"/>
    <x v="4"/>
    <x v="1"/>
    <x v="0"/>
    <d v="2023-11-16T00:00:00"/>
    <n v="1"/>
    <n v="24766"/>
    <x v="2"/>
    <x v="0"/>
    <x v="0"/>
    <s v="Senior"/>
    <x v="0"/>
  </r>
  <r>
    <n v="402"/>
    <x v="1"/>
    <n v="38"/>
    <x v="1"/>
    <x v="4"/>
    <x v="2"/>
    <d v="2023-09-08T00:00:00"/>
    <n v="6"/>
    <n v="38174"/>
    <x v="1"/>
    <x v="0"/>
    <x v="8"/>
    <s v="Adult"/>
    <x v="8"/>
  </r>
  <r>
    <n v="403"/>
    <x v="0"/>
    <n v="6"/>
    <x v="2"/>
    <x v="3"/>
    <x v="1"/>
    <d v="2023-06-15T00:00:00"/>
    <n v="13"/>
    <n v="43107"/>
    <x v="1"/>
    <x v="0"/>
    <x v="4"/>
    <s v="Child"/>
    <x v="4"/>
  </r>
  <r>
    <n v="404"/>
    <x v="0"/>
    <n v="72"/>
    <x v="0"/>
    <x v="2"/>
    <x v="3"/>
    <d v="2023-02-05T00:00:00"/>
    <n v="6"/>
    <n v="19695"/>
    <x v="2"/>
    <x v="0"/>
    <x v="9"/>
    <s v="Senior"/>
    <x v="9"/>
  </r>
  <r>
    <n v="405"/>
    <x v="1"/>
    <n v="23"/>
    <x v="0"/>
    <x v="1"/>
    <x v="2"/>
    <d v="2023-04-19T00:00:00"/>
    <n v="11"/>
    <n v="43347"/>
    <x v="1"/>
    <x v="0"/>
    <x v="2"/>
    <s v="Adult"/>
    <x v="2"/>
  </r>
  <r>
    <n v="406"/>
    <x v="1"/>
    <n v="47"/>
    <x v="2"/>
    <x v="1"/>
    <x v="2"/>
    <d v="2023-02-19T00:00:00"/>
    <n v="4"/>
    <n v="5121"/>
    <x v="1"/>
    <x v="0"/>
    <x v="9"/>
    <s v="Middle Age"/>
    <x v="9"/>
  </r>
  <r>
    <n v="407"/>
    <x v="1"/>
    <n v="46"/>
    <x v="4"/>
    <x v="1"/>
    <x v="0"/>
    <d v="2023-03-07T00:00:00"/>
    <n v="12"/>
    <n v="20257"/>
    <x v="2"/>
    <x v="0"/>
    <x v="7"/>
    <s v="Middle Age"/>
    <x v="7"/>
  </r>
  <r>
    <n v="408"/>
    <x v="1"/>
    <n v="12"/>
    <x v="2"/>
    <x v="3"/>
    <x v="1"/>
    <d v="2023-04-13T00:00:00"/>
    <n v="11"/>
    <n v="30164"/>
    <x v="1"/>
    <x v="0"/>
    <x v="2"/>
    <s v="Child"/>
    <x v="2"/>
  </r>
  <r>
    <n v="409"/>
    <x v="1"/>
    <n v="13"/>
    <x v="3"/>
    <x v="0"/>
    <x v="2"/>
    <d v="2023-09-16T00:00:00"/>
    <n v="13"/>
    <n v="27491"/>
    <x v="1"/>
    <x v="0"/>
    <x v="8"/>
    <s v="Child"/>
    <x v="8"/>
  </r>
  <r>
    <n v="410"/>
    <x v="1"/>
    <n v="62"/>
    <x v="5"/>
    <x v="0"/>
    <x v="2"/>
    <d v="2023-10-30T00:00:00"/>
    <n v="11"/>
    <n v="25165"/>
    <x v="1"/>
    <x v="0"/>
    <x v="5"/>
    <s v="Senior"/>
    <x v="5"/>
  </r>
  <r>
    <n v="411"/>
    <x v="0"/>
    <n v="82"/>
    <x v="4"/>
    <x v="4"/>
    <x v="2"/>
    <d v="2023-09-18T00:00:00"/>
    <n v="13"/>
    <n v="5748"/>
    <x v="1"/>
    <x v="0"/>
    <x v="8"/>
    <s v="Senior"/>
    <x v="8"/>
  </r>
  <r>
    <n v="412"/>
    <x v="1"/>
    <n v="89"/>
    <x v="1"/>
    <x v="0"/>
    <x v="2"/>
    <d v="2023-06-21T00:00:00"/>
    <n v="10"/>
    <n v="35045"/>
    <x v="1"/>
    <x v="0"/>
    <x v="4"/>
    <s v="Senior"/>
    <x v="4"/>
  </r>
  <r>
    <n v="413"/>
    <x v="1"/>
    <n v="60"/>
    <x v="3"/>
    <x v="1"/>
    <x v="3"/>
    <d v="2023-08-16T00:00:00"/>
    <n v="3"/>
    <n v="28553"/>
    <x v="2"/>
    <x v="0"/>
    <x v="10"/>
    <s v="Senior"/>
    <x v="10"/>
  </r>
  <r>
    <n v="414"/>
    <x v="0"/>
    <n v="43"/>
    <x v="4"/>
    <x v="1"/>
    <x v="1"/>
    <d v="2023-03-05T00:00:00"/>
    <n v="13"/>
    <n v="46331"/>
    <x v="1"/>
    <x v="0"/>
    <x v="7"/>
    <s v="Middle Age"/>
    <x v="7"/>
  </r>
  <r>
    <n v="415"/>
    <x v="0"/>
    <n v="76"/>
    <x v="2"/>
    <x v="1"/>
    <x v="0"/>
    <d v="2023-09-02T00:00:00"/>
    <n v="11"/>
    <n v="32497"/>
    <x v="1"/>
    <x v="0"/>
    <x v="8"/>
    <s v="Senior"/>
    <x v="8"/>
  </r>
  <r>
    <n v="416"/>
    <x v="0"/>
    <n v="68"/>
    <x v="2"/>
    <x v="4"/>
    <x v="0"/>
    <d v="2023-09-06T00:00:00"/>
    <n v="3"/>
    <n v="33308"/>
    <x v="0"/>
    <x v="0"/>
    <x v="8"/>
    <s v="Senior"/>
    <x v="8"/>
  </r>
  <r>
    <n v="417"/>
    <x v="0"/>
    <n v="5"/>
    <x v="2"/>
    <x v="1"/>
    <x v="3"/>
    <d v="2023-05-20T00:00:00"/>
    <n v="13"/>
    <n v="41560"/>
    <x v="1"/>
    <x v="0"/>
    <x v="6"/>
    <s v="Child"/>
    <x v="6"/>
  </r>
  <r>
    <n v="418"/>
    <x v="1"/>
    <n v="37"/>
    <x v="2"/>
    <x v="0"/>
    <x v="1"/>
    <d v="2023-02-27T00:00:00"/>
    <n v="13"/>
    <n v="48686"/>
    <x v="1"/>
    <x v="0"/>
    <x v="9"/>
    <s v="Adult"/>
    <x v="9"/>
  </r>
  <r>
    <n v="419"/>
    <x v="1"/>
    <n v="72"/>
    <x v="1"/>
    <x v="3"/>
    <x v="2"/>
    <d v="2023-12-26T00:00:00"/>
    <n v="1"/>
    <n v="12374"/>
    <x v="0"/>
    <x v="0"/>
    <x v="1"/>
    <s v="Senior"/>
    <x v="1"/>
  </r>
  <r>
    <n v="420"/>
    <x v="1"/>
    <n v="31"/>
    <x v="3"/>
    <x v="3"/>
    <x v="3"/>
    <d v="2023-01-17T00:00:00"/>
    <n v="3"/>
    <n v="6675"/>
    <x v="2"/>
    <x v="0"/>
    <x v="11"/>
    <s v="Adult"/>
    <x v="11"/>
  </r>
  <r>
    <n v="421"/>
    <x v="1"/>
    <n v="9"/>
    <x v="0"/>
    <x v="2"/>
    <x v="1"/>
    <d v="2023-05-28T00:00:00"/>
    <n v="4"/>
    <n v="3170"/>
    <x v="1"/>
    <x v="0"/>
    <x v="6"/>
    <s v="Child"/>
    <x v="6"/>
  </r>
  <r>
    <n v="422"/>
    <x v="1"/>
    <n v="51"/>
    <x v="5"/>
    <x v="0"/>
    <x v="2"/>
    <d v="2023-02-04T00:00:00"/>
    <n v="11"/>
    <n v="43449"/>
    <x v="2"/>
    <x v="0"/>
    <x v="9"/>
    <s v="Middle Age"/>
    <x v="9"/>
  </r>
  <r>
    <n v="423"/>
    <x v="1"/>
    <n v="29"/>
    <x v="1"/>
    <x v="1"/>
    <x v="3"/>
    <d v="2023-06-09T00:00:00"/>
    <n v="11"/>
    <n v="45485"/>
    <x v="1"/>
    <x v="0"/>
    <x v="4"/>
    <s v="Adult"/>
    <x v="4"/>
  </r>
  <r>
    <n v="424"/>
    <x v="0"/>
    <n v="78"/>
    <x v="1"/>
    <x v="3"/>
    <x v="1"/>
    <d v="2023-07-23T00:00:00"/>
    <n v="5"/>
    <n v="14450"/>
    <x v="2"/>
    <x v="0"/>
    <x v="3"/>
    <s v="Senior"/>
    <x v="3"/>
  </r>
  <r>
    <n v="425"/>
    <x v="1"/>
    <n v="40"/>
    <x v="0"/>
    <x v="0"/>
    <x v="0"/>
    <d v="2023-04-17T00:00:00"/>
    <n v="3"/>
    <n v="12680"/>
    <x v="1"/>
    <x v="0"/>
    <x v="2"/>
    <s v="Middle Age"/>
    <x v="2"/>
  </r>
  <r>
    <n v="426"/>
    <x v="0"/>
    <n v="41"/>
    <x v="0"/>
    <x v="3"/>
    <x v="0"/>
    <d v="2023-08-19T00:00:00"/>
    <n v="6"/>
    <n v="12068"/>
    <x v="2"/>
    <x v="0"/>
    <x v="10"/>
    <s v="Middle Age"/>
    <x v="10"/>
  </r>
  <r>
    <n v="427"/>
    <x v="0"/>
    <n v="86"/>
    <x v="5"/>
    <x v="1"/>
    <x v="1"/>
    <d v="2023-12-15T00:00:00"/>
    <n v="11"/>
    <n v="37230"/>
    <x v="1"/>
    <x v="0"/>
    <x v="1"/>
    <s v="Senior"/>
    <x v="1"/>
  </r>
  <r>
    <n v="428"/>
    <x v="1"/>
    <n v="11"/>
    <x v="5"/>
    <x v="3"/>
    <x v="0"/>
    <d v="2023-06-01T00:00:00"/>
    <n v="14"/>
    <n v="48418"/>
    <x v="1"/>
    <x v="0"/>
    <x v="4"/>
    <s v="Child"/>
    <x v="4"/>
  </r>
  <r>
    <n v="429"/>
    <x v="0"/>
    <n v="23"/>
    <x v="0"/>
    <x v="2"/>
    <x v="1"/>
    <d v="2023-05-30T00:00:00"/>
    <n v="12"/>
    <n v="28206"/>
    <x v="1"/>
    <x v="0"/>
    <x v="6"/>
    <s v="Adult"/>
    <x v="6"/>
  </r>
  <r>
    <n v="430"/>
    <x v="1"/>
    <n v="1"/>
    <x v="2"/>
    <x v="2"/>
    <x v="2"/>
    <d v="2023-09-26T00:00:00"/>
    <n v="5"/>
    <n v="2287"/>
    <x v="1"/>
    <x v="0"/>
    <x v="8"/>
    <s v="Child"/>
    <x v="8"/>
  </r>
  <r>
    <n v="431"/>
    <x v="0"/>
    <n v="46"/>
    <x v="1"/>
    <x v="3"/>
    <x v="1"/>
    <d v="2023-08-16T00:00:00"/>
    <n v="3"/>
    <n v="24337"/>
    <x v="2"/>
    <x v="0"/>
    <x v="10"/>
    <s v="Middle Age"/>
    <x v="10"/>
  </r>
  <r>
    <n v="432"/>
    <x v="1"/>
    <n v="21"/>
    <x v="4"/>
    <x v="0"/>
    <x v="2"/>
    <d v="2023-01-06T00:00:00"/>
    <n v="6"/>
    <n v="22666"/>
    <x v="1"/>
    <x v="0"/>
    <x v="11"/>
    <s v="Adult"/>
    <x v="11"/>
  </r>
  <r>
    <n v="433"/>
    <x v="0"/>
    <n v="36"/>
    <x v="5"/>
    <x v="0"/>
    <x v="3"/>
    <d v="2023-03-27T00:00:00"/>
    <n v="6"/>
    <n v="3161"/>
    <x v="1"/>
    <x v="0"/>
    <x v="7"/>
    <s v="Adult"/>
    <x v="7"/>
  </r>
  <r>
    <n v="434"/>
    <x v="1"/>
    <n v="54"/>
    <x v="5"/>
    <x v="0"/>
    <x v="1"/>
    <d v="2023-02-27T00:00:00"/>
    <n v="14"/>
    <n v="37131"/>
    <x v="1"/>
    <x v="0"/>
    <x v="9"/>
    <s v="Middle Age"/>
    <x v="9"/>
  </r>
  <r>
    <n v="435"/>
    <x v="1"/>
    <n v="87"/>
    <x v="0"/>
    <x v="3"/>
    <x v="3"/>
    <d v="2023-01-29T00:00:00"/>
    <n v="8"/>
    <n v="26535"/>
    <x v="1"/>
    <x v="0"/>
    <x v="11"/>
    <s v="Senior"/>
    <x v="11"/>
  </r>
  <r>
    <n v="436"/>
    <x v="1"/>
    <n v="57"/>
    <x v="3"/>
    <x v="0"/>
    <x v="0"/>
    <d v="2023-02-21T00:00:00"/>
    <n v="2"/>
    <n v="34528"/>
    <x v="2"/>
    <x v="0"/>
    <x v="9"/>
    <s v="Middle Age"/>
    <x v="9"/>
  </r>
  <r>
    <n v="437"/>
    <x v="1"/>
    <n v="1"/>
    <x v="4"/>
    <x v="1"/>
    <x v="2"/>
    <d v="2023-06-30T00:00:00"/>
    <n v="1"/>
    <n v="40751"/>
    <x v="2"/>
    <x v="0"/>
    <x v="4"/>
    <s v="Child"/>
    <x v="4"/>
  </r>
  <r>
    <n v="438"/>
    <x v="1"/>
    <n v="63"/>
    <x v="4"/>
    <x v="2"/>
    <x v="1"/>
    <d v="2023-08-04T00:00:00"/>
    <n v="4"/>
    <n v="18527"/>
    <x v="1"/>
    <x v="0"/>
    <x v="10"/>
    <s v="Senior"/>
    <x v="10"/>
  </r>
  <r>
    <n v="439"/>
    <x v="0"/>
    <n v="54"/>
    <x v="5"/>
    <x v="1"/>
    <x v="3"/>
    <d v="2023-01-25T00:00:00"/>
    <n v="7"/>
    <n v="42975"/>
    <x v="0"/>
    <x v="0"/>
    <x v="11"/>
    <s v="Middle Age"/>
    <x v="11"/>
  </r>
  <r>
    <n v="440"/>
    <x v="0"/>
    <n v="55"/>
    <x v="2"/>
    <x v="0"/>
    <x v="2"/>
    <d v="2023-11-27T00:00:00"/>
    <n v="11"/>
    <n v="25853"/>
    <x v="2"/>
    <x v="0"/>
    <x v="0"/>
    <s v="Middle Age"/>
    <x v="0"/>
  </r>
  <r>
    <n v="441"/>
    <x v="0"/>
    <n v="40"/>
    <x v="3"/>
    <x v="1"/>
    <x v="2"/>
    <d v="2023-09-17T00:00:00"/>
    <n v="10"/>
    <n v="16758"/>
    <x v="1"/>
    <x v="0"/>
    <x v="8"/>
    <s v="Middle Age"/>
    <x v="8"/>
  </r>
  <r>
    <n v="442"/>
    <x v="1"/>
    <n v="15"/>
    <x v="4"/>
    <x v="0"/>
    <x v="0"/>
    <d v="2023-01-07T00:00:00"/>
    <n v="3"/>
    <n v="2244"/>
    <x v="1"/>
    <x v="0"/>
    <x v="11"/>
    <s v="Child"/>
    <x v="11"/>
  </r>
  <r>
    <n v="443"/>
    <x v="0"/>
    <n v="21"/>
    <x v="5"/>
    <x v="3"/>
    <x v="0"/>
    <d v="2023-12-31T00:00:00"/>
    <n v="3"/>
    <n v="5178"/>
    <x v="0"/>
    <x v="0"/>
    <x v="1"/>
    <s v="Adult"/>
    <x v="1"/>
  </r>
  <r>
    <n v="444"/>
    <x v="1"/>
    <n v="47"/>
    <x v="4"/>
    <x v="1"/>
    <x v="2"/>
    <d v="2023-09-14T00:00:00"/>
    <n v="5"/>
    <n v="33831"/>
    <x v="1"/>
    <x v="0"/>
    <x v="8"/>
    <s v="Middle Age"/>
    <x v="8"/>
  </r>
  <r>
    <n v="445"/>
    <x v="1"/>
    <n v="73"/>
    <x v="3"/>
    <x v="3"/>
    <x v="2"/>
    <d v="2023-09-08T00:00:00"/>
    <n v="5"/>
    <n v="4176"/>
    <x v="2"/>
    <x v="0"/>
    <x v="8"/>
    <s v="Senior"/>
    <x v="8"/>
  </r>
  <r>
    <n v="446"/>
    <x v="0"/>
    <n v="53"/>
    <x v="3"/>
    <x v="3"/>
    <x v="1"/>
    <d v="2023-06-03T00:00:00"/>
    <n v="13"/>
    <n v="39770"/>
    <x v="1"/>
    <x v="0"/>
    <x v="4"/>
    <s v="Middle Age"/>
    <x v="4"/>
  </r>
  <r>
    <n v="447"/>
    <x v="0"/>
    <n v="9"/>
    <x v="1"/>
    <x v="4"/>
    <x v="2"/>
    <d v="2023-08-01T00:00:00"/>
    <n v="10"/>
    <n v="35654"/>
    <x v="1"/>
    <x v="0"/>
    <x v="10"/>
    <s v="Child"/>
    <x v="10"/>
  </r>
  <r>
    <n v="448"/>
    <x v="1"/>
    <n v="74"/>
    <x v="0"/>
    <x v="0"/>
    <x v="1"/>
    <d v="2023-02-21T00:00:00"/>
    <n v="3"/>
    <n v="28627"/>
    <x v="1"/>
    <x v="0"/>
    <x v="9"/>
    <s v="Senior"/>
    <x v="9"/>
  </r>
  <r>
    <n v="449"/>
    <x v="0"/>
    <n v="52"/>
    <x v="0"/>
    <x v="2"/>
    <x v="2"/>
    <d v="2023-03-23T00:00:00"/>
    <n v="9"/>
    <n v="48489"/>
    <x v="1"/>
    <x v="0"/>
    <x v="7"/>
    <s v="Middle Age"/>
    <x v="7"/>
  </r>
  <r>
    <n v="450"/>
    <x v="1"/>
    <n v="57"/>
    <x v="5"/>
    <x v="0"/>
    <x v="0"/>
    <d v="2023-02-28T00:00:00"/>
    <n v="4"/>
    <n v="46910"/>
    <x v="0"/>
    <x v="0"/>
    <x v="9"/>
    <s v="Middle Age"/>
    <x v="9"/>
  </r>
  <r>
    <n v="451"/>
    <x v="1"/>
    <n v="26"/>
    <x v="3"/>
    <x v="2"/>
    <x v="1"/>
    <d v="2023-02-01T00:00:00"/>
    <n v="13"/>
    <n v="26881"/>
    <x v="1"/>
    <x v="0"/>
    <x v="9"/>
    <s v="Adult"/>
    <x v="9"/>
  </r>
  <r>
    <n v="452"/>
    <x v="1"/>
    <n v="41"/>
    <x v="1"/>
    <x v="0"/>
    <x v="3"/>
    <d v="2023-05-28T00:00:00"/>
    <n v="13"/>
    <n v="37422"/>
    <x v="1"/>
    <x v="0"/>
    <x v="6"/>
    <s v="Middle Age"/>
    <x v="6"/>
  </r>
  <r>
    <n v="453"/>
    <x v="1"/>
    <n v="35"/>
    <x v="1"/>
    <x v="3"/>
    <x v="0"/>
    <d v="2023-01-07T00:00:00"/>
    <n v="3"/>
    <n v="13984"/>
    <x v="0"/>
    <x v="0"/>
    <x v="11"/>
    <s v="Adult"/>
    <x v="11"/>
  </r>
  <r>
    <n v="454"/>
    <x v="1"/>
    <n v="63"/>
    <x v="4"/>
    <x v="1"/>
    <x v="1"/>
    <d v="2023-06-22T00:00:00"/>
    <n v="11"/>
    <n v="25776"/>
    <x v="1"/>
    <x v="0"/>
    <x v="4"/>
    <s v="Senior"/>
    <x v="4"/>
  </r>
  <r>
    <n v="455"/>
    <x v="0"/>
    <n v="25"/>
    <x v="4"/>
    <x v="1"/>
    <x v="1"/>
    <d v="2023-10-21T00:00:00"/>
    <n v="2"/>
    <n v="19755"/>
    <x v="1"/>
    <x v="0"/>
    <x v="5"/>
    <s v="Adult"/>
    <x v="5"/>
  </r>
  <r>
    <n v="456"/>
    <x v="0"/>
    <n v="75"/>
    <x v="1"/>
    <x v="4"/>
    <x v="3"/>
    <d v="2023-02-14T00:00:00"/>
    <n v="10"/>
    <n v="9135"/>
    <x v="2"/>
    <x v="0"/>
    <x v="9"/>
    <s v="Senior"/>
    <x v="9"/>
  </r>
  <r>
    <n v="457"/>
    <x v="1"/>
    <n v="38"/>
    <x v="4"/>
    <x v="2"/>
    <x v="1"/>
    <d v="2023-01-17T00:00:00"/>
    <n v="13"/>
    <n v="2320"/>
    <x v="2"/>
    <x v="0"/>
    <x v="11"/>
    <s v="Adult"/>
    <x v="11"/>
  </r>
  <r>
    <n v="458"/>
    <x v="1"/>
    <n v="2"/>
    <x v="3"/>
    <x v="2"/>
    <x v="2"/>
    <d v="2023-09-22T00:00:00"/>
    <n v="11"/>
    <n v="39422"/>
    <x v="1"/>
    <x v="0"/>
    <x v="8"/>
    <s v="Child"/>
    <x v="8"/>
  </r>
  <r>
    <n v="459"/>
    <x v="0"/>
    <n v="7"/>
    <x v="2"/>
    <x v="2"/>
    <x v="3"/>
    <d v="2023-11-13T00:00:00"/>
    <n v="9"/>
    <n v="30635"/>
    <x v="1"/>
    <x v="0"/>
    <x v="0"/>
    <s v="Child"/>
    <x v="0"/>
  </r>
  <r>
    <n v="460"/>
    <x v="0"/>
    <n v="82"/>
    <x v="3"/>
    <x v="3"/>
    <x v="0"/>
    <d v="2023-04-02T00:00:00"/>
    <n v="4"/>
    <n v="23684"/>
    <x v="1"/>
    <x v="0"/>
    <x v="2"/>
    <s v="Senior"/>
    <x v="2"/>
  </r>
  <r>
    <n v="461"/>
    <x v="1"/>
    <n v="34"/>
    <x v="1"/>
    <x v="2"/>
    <x v="0"/>
    <d v="2023-07-30T00:00:00"/>
    <n v="3"/>
    <n v="25238"/>
    <x v="1"/>
    <x v="0"/>
    <x v="3"/>
    <s v="Adult"/>
    <x v="3"/>
  </r>
  <r>
    <n v="462"/>
    <x v="0"/>
    <n v="17"/>
    <x v="1"/>
    <x v="1"/>
    <x v="2"/>
    <d v="2023-02-04T00:00:00"/>
    <n v="7"/>
    <n v="23889"/>
    <x v="1"/>
    <x v="0"/>
    <x v="9"/>
    <s v="Child"/>
    <x v="9"/>
  </r>
  <r>
    <n v="463"/>
    <x v="1"/>
    <n v="43"/>
    <x v="3"/>
    <x v="3"/>
    <x v="0"/>
    <d v="2023-08-28T00:00:00"/>
    <n v="8"/>
    <n v="32313"/>
    <x v="1"/>
    <x v="0"/>
    <x v="10"/>
    <s v="Middle Age"/>
    <x v="10"/>
  </r>
  <r>
    <n v="464"/>
    <x v="0"/>
    <n v="59"/>
    <x v="4"/>
    <x v="0"/>
    <x v="1"/>
    <d v="2023-12-16T00:00:00"/>
    <n v="11"/>
    <n v="34535"/>
    <x v="1"/>
    <x v="0"/>
    <x v="1"/>
    <s v="Middle Age"/>
    <x v="1"/>
  </r>
  <r>
    <n v="465"/>
    <x v="1"/>
    <n v="51"/>
    <x v="4"/>
    <x v="2"/>
    <x v="1"/>
    <d v="2023-04-15T00:00:00"/>
    <n v="14"/>
    <n v="12770"/>
    <x v="1"/>
    <x v="0"/>
    <x v="2"/>
    <s v="Middle Age"/>
    <x v="2"/>
  </r>
  <r>
    <n v="466"/>
    <x v="0"/>
    <n v="54"/>
    <x v="0"/>
    <x v="2"/>
    <x v="2"/>
    <d v="2023-07-18T00:00:00"/>
    <n v="2"/>
    <n v="41321"/>
    <x v="1"/>
    <x v="0"/>
    <x v="3"/>
    <s v="Middle Age"/>
    <x v="3"/>
  </r>
  <r>
    <n v="467"/>
    <x v="1"/>
    <n v="24"/>
    <x v="1"/>
    <x v="0"/>
    <x v="0"/>
    <d v="2023-09-04T00:00:00"/>
    <n v="7"/>
    <n v="22426"/>
    <x v="1"/>
    <x v="0"/>
    <x v="8"/>
    <s v="Adult"/>
    <x v="8"/>
  </r>
  <r>
    <n v="468"/>
    <x v="0"/>
    <n v="25"/>
    <x v="5"/>
    <x v="2"/>
    <x v="0"/>
    <d v="2023-01-12T00:00:00"/>
    <n v="12"/>
    <n v="46327"/>
    <x v="2"/>
    <x v="0"/>
    <x v="11"/>
    <s v="Adult"/>
    <x v="11"/>
  </r>
  <r>
    <n v="469"/>
    <x v="0"/>
    <n v="71"/>
    <x v="0"/>
    <x v="0"/>
    <x v="2"/>
    <d v="2023-03-01T00:00:00"/>
    <n v="5"/>
    <n v="43777"/>
    <x v="2"/>
    <x v="0"/>
    <x v="7"/>
    <s v="Senior"/>
    <x v="7"/>
  </r>
  <r>
    <n v="470"/>
    <x v="1"/>
    <n v="52"/>
    <x v="4"/>
    <x v="3"/>
    <x v="3"/>
    <d v="2023-06-30T00:00:00"/>
    <n v="11"/>
    <n v="48250"/>
    <x v="1"/>
    <x v="0"/>
    <x v="4"/>
    <s v="Middle Age"/>
    <x v="4"/>
  </r>
  <r>
    <n v="471"/>
    <x v="0"/>
    <n v="70"/>
    <x v="3"/>
    <x v="1"/>
    <x v="0"/>
    <d v="2023-09-04T00:00:00"/>
    <n v="5"/>
    <n v="9498"/>
    <x v="1"/>
    <x v="0"/>
    <x v="8"/>
    <s v="Senior"/>
    <x v="8"/>
  </r>
  <r>
    <n v="472"/>
    <x v="1"/>
    <n v="88"/>
    <x v="4"/>
    <x v="0"/>
    <x v="3"/>
    <d v="2023-03-15T00:00:00"/>
    <n v="3"/>
    <n v="41404"/>
    <x v="1"/>
    <x v="0"/>
    <x v="7"/>
    <s v="Senior"/>
    <x v="7"/>
  </r>
  <r>
    <n v="473"/>
    <x v="0"/>
    <n v="33"/>
    <x v="3"/>
    <x v="4"/>
    <x v="0"/>
    <d v="2023-11-18T00:00:00"/>
    <n v="5"/>
    <n v="42130"/>
    <x v="1"/>
    <x v="0"/>
    <x v="0"/>
    <s v="Adult"/>
    <x v="0"/>
  </r>
  <r>
    <n v="474"/>
    <x v="1"/>
    <n v="49"/>
    <x v="0"/>
    <x v="0"/>
    <x v="0"/>
    <d v="2023-06-16T00:00:00"/>
    <n v="12"/>
    <n v="18395"/>
    <x v="1"/>
    <x v="0"/>
    <x v="4"/>
    <s v="Middle Age"/>
    <x v="4"/>
  </r>
  <r>
    <n v="475"/>
    <x v="0"/>
    <n v="29"/>
    <x v="1"/>
    <x v="2"/>
    <x v="0"/>
    <d v="2023-02-13T00:00:00"/>
    <n v="2"/>
    <n v="4537"/>
    <x v="1"/>
    <x v="0"/>
    <x v="9"/>
    <s v="Adult"/>
    <x v="9"/>
  </r>
  <r>
    <n v="476"/>
    <x v="1"/>
    <n v="63"/>
    <x v="4"/>
    <x v="3"/>
    <x v="0"/>
    <d v="2023-09-15T00:00:00"/>
    <n v="4"/>
    <n v="21226"/>
    <x v="1"/>
    <x v="0"/>
    <x v="8"/>
    <s v="Senior"/>
    <x v="8"/>
  </r>
  <r>
    <n v="477"/>
    <x v="0"/>
    <n v="22"/>
    <x v="3"/>
    <x v="3"/>
    <x v="1"/>
    <d v="2023-12-03T00:00:00"/>
    <n v="6"/>
    <n v="17216"/>
    <x v="2"/>
    <x v="0"/>
    <x v="1"/>
    <s v="Adult"/>
    <x v="1"/>
  </r>
  <r>
    <n v="478"/>
    <x v="1"/>
    <n v="26"/>
    <x v="1"/>
    <x v="0"/>
    <x v="3"/>
    <d v="2023-01-28T00:00:00"/>
    <n v="1"/>
    <n v="20613"/>
    <x v="1"/>
    <x v="0"/>
    <x v="11"/>
    <s v="Adult"/>
    <x v="11"/>
  </r>
  <r>
    <n v="479"/>
    <x v="0"/>
    <n v="28"/>
    <x v="5"/>
    <x v="1"/>
    <x v="3"/>
    <d v="2023-01-17T00:00:00"/>
    <n v="10"/>
    <n v="5009"/>
    <x v="1"/>
    <x v="0"/>
    <x v="11"/>
    <s v="Adult"/>
    <x v="11"/>
  </r>
  <r>
    <n v="480"/>
    <x v="1"/>
    <n v="85"/>
    <x v="3"/>
    <x v="4"/>
    <x v="0"/>
    <d v="2023-04-03T00:00:00"/>
    <n v="4"/>
    <n v="26368"/>
    <x v="2"/>
    <x v="0"/>
    <x v="2"/>
    <s v="Senior"/>
    <x v="2"/>
  </r>
  <r>
    <n v="481"/>
    <x v="1"/>
    <n v="49"/>
    <x v="0"/>
    <x v="3"/>
    <x v="0"/>
    <d v="2023-02-01T00:00:00"/>
    <n v="6"/>
    <n v="31327"/>
    <x v="1"/>
    <x v="0"/>
    <x v="9"/>
    <s v="Middle Age"/>
    <x v="9"/>
  </r>
  <r>
    <n v="482"/>
    <x v="1"/>
    <n v="71"/>
    <x v="5"/>
    <x v="2"/>
    <x v="3"/>
    <d v="2023-08-28T00:00:00"/>
    <n v="9"/>
    <n v="16209"/>
    <x v="1"/>
    <x v="0"/>
    <x v="10"/>
    <s v="Senior"/>
    <x v="10"/>
  </r>
  <r>
    <n v="483"/>
    <x v="0"/>
    <n v="81"/>
    <x v="5"/>
    <x v="2"/>
    <x v="1"/>
    <d v="2023-03-15T00:00:00"/>
    <n v="14"/>
    <n v="17029"/>
    <x v="1"/>
    <x v="0"/>
    <x v="7"/>
    <s v="Senior"/>
    <x v="7"/>
  </r>
  <r>
    <n v="484"/>
    <x v="1"/>
    <n v="84"/>
    <x v="2"/>
    <x v="1"/>
    <x v="2"/>
    <d v="2023-02-28T00:00:00"/>
    <n v="11"/>
    <n v="4077"/>
    <x v="1"/>
    <x v="0"/>
    <x v="9"/>
    <s v="Senior"/>
    <x v="9"/>
  </r>
  <r>
    <n v="485"/>
    <x v="0"/>
    <n v="49"/>
    <x v="4"/>
    <x v="3"/>
    <x v="2"/>
    <d v="2023-09-17T00:00:00"/>
    <n v="11"/>
    <n v="15907"/>
    <x v="2"/>
    <x v="0"/>
    <x v="8"/>
    <s v="Middle Age"/>
    <x v="8"/>
  </r>
  <r>
    <n v="486"/>
    <x v="1"/>
    <n v="20"/>
    <x v="3"/>
    <x v="0"/>
    <x v="3"/>
    <d v="2023-07-03T00:00:00"/>
    <n v="13"/>
    <n v="38635"/>
    <x v="1"/>
    <x v="0"/>
    <x v="3"/>
    <s v="Adult"/>
    <x v="3"/>
  </r>
  <r>
    <n v="487"/>
    <x v="0"/>
    <n v="86"/>
    <x v="5"/>
    <x v="2"/>
    <x v="0"/>
    <d v="2023-12-27T00:00:00"/>
    <n v="2"/>
    <n v="6873"/>
    <x v="1"/>
    <x v="0"/>
    <x v="1"/>
    <s v="Senior"/>
    <x v="1"/>
  </r>
  <r>
    <n v="488"/>
    <x v="1"/>
    <n v="63"/>
    <x v="2"/>
    <x v="1"/>
    <x v="0"/>
    <d v="2023-03-29T00:00:00"/>
    <n v="11"/>
    <n v="10635"/>
    <x v="1"/>
    <x v="0"/>
    <x v="7"/>
    <s v="Senior"/>
    <x v="7"/>
  </r>
  <r>
    <n v="489"/>
    <x v="0"/>
    <n v="61"/>
    <x v="0"/>
    <x v="3"/>
    <x v="1"/>
    <d v="2023-12-17T00:00:00"/>
    <n v="7"/>
    <n v="35065"/>
    <x v="1"/>
    <x v="0"/>
    <x v="1"/>
    <s v="Senior"/>
    <x v="1"/>
  </r>
  <r>
    <n v="490"/>
    <x v="0"/>
    <n v="49"/>
    <x v="1"/>
    <x v="3"/>
    <x v="2"/>
    <d v="2023-05-03T00:00:00"/>
    <n v="6"/>
    <n v="47863"/>
    <x v="2"/>
    <x v="0"/>
    <x v="6"/>
    <s v="Middle Age"/>
    <x v="6"/>
  </r>
  <r>
    <n v="491"/>
    <x v="1"/>
    <n v="71"/>
    <x v="3"/>
    <x v="3"/>
    <x v="1"/>
    <d v="2023-03-24T00:00:00"/>
    <n v="2"/>
    <n v="43804"/>
    <x v="2"/>
    <x v="0"/>
    <x v="7"/>
    <s v="Senior"/>
    <x v="7"/>
  </r>
  <r>
    <n v="492"/>
    <x v="0"/>
    <n v="1"/>
    <x v="5"/>
    <x v="3"/>
    <x v="2"/>
    <d v="2023-07-09T00:00:00"/>
    <n v="8"/>
    <n v="35783"/>
    <x v="1"/>
    <x v="0"/>
    <x v="3"/>
    <s v="Child"/>
    <x v="3"/>
  </r>
  <r>
    <n v="493"/>
    <x v="0"/>
    <n v="13"/>
    <x v="4"/>
    <x v="3"/>
    <x v="3"/>
    <d v="2023-10-25T00:00:00"/>
    <n v="7"/>
    <n v="36152"/>
    <x v="1"/>
    <x v="0"/>
    <x v="5"/>
    <s v="Child"/>
    <x v="5"/>
  </r>
  <r>
    <n v="494"/>
    <x v="1"/>
    <n v="87"/>
    <x v="2"/>
    <x v="2"/>
    <x v="2"/>
    <d v="2023-06-14T00:00:00"/>
    <n v="11"/>
    <n v="43513"/>
    <x v="1"/>
    <x v="0"/>
    <x v="4"/>
    <s v="Senior"/>
    <x v="4"/>
  </r>
  <r>
    <n v="495"/>
    <x v="0"/>
    <n v="51"/>
    <x v="5"/>
    <x v="1"/>
    <x v="1"/>
    <d v="2023-09-17T00:00:00"/>
    <n v="5"/>
    <n v="31092"/>
    <x v="2"/>
    <x v="0"/>
    <x v="8"/>
    <s v="Middle Age"/>
    <x v="8"/>
  </r>
  <r>
    <n v="496"/>
    <x v="0"/>
    <n v="56"/>
    <x v="4"/>
    <x v="3"/>
    <x v="1"/>
    <d v="2023-10-27T00:00:00"/>
    <n v="12"/>
    <n v="19653"/>
    <x v="1"/>
    <x v="0"/>
    <x v="5"/>
    <s v="Middle Age"/>
    <x v="5"/>
  </r>
  <r>
    <n v="497"/>
    <x v="0"/>
    <n v="83"/>
    <x v="5"/>
    <x v="4"/>
    <x v="1"/>
    <d v="2023-07-15T00:00:00"/>
    <n v="5"/>
    <n v="34463"/>
    <x v="1"/>
    <x v="0"/>
    <x v="3"/>
    <s v="Senior"/>
    <x v="3"/>
  </r>
  <r>
    <n v="498"/>
    <x v="1"/>
    <n v="62"/>
    <x v="3"/>
    <x v="4"/>
    <x v="3"/>
    <d v="2023-09-28T00:00:00"/>
    <n v="7"/>
    <n v="36028"/>
    <x v="1"/>
    <x v="0"/>
    <x v="8"/>
    <s v="Senior"/>
    <x v="8"/>
  </r>
  <r>
    <n v="499"/>
    <x v="0"/>
    <n v="32"/>
    <x v="3"/>
    <x v="1"/>
    <x v="2"/>
    <d v="2023-06-03T00:00:00"/>
    <n v="9"/>
    <n v="42469"/>
    <x v="1"/>
    <x v="0"/>
    <x v="4"/>
    <s v="Adult"/>
    <x v="4"/>
  </r>
  <r>
    <n v="500"/>
    <x v="1"/>
    <n v="30"/>
    <x v="3"/>
    <x v="0"/>
    <x v="2"/>
    <d v="2023-07-24T00:00:00"/>
    <n v="11"/>
    <n v="22947"/>
    <x v="1"/>
    <x v="0"/>
    <x v="3"/>
    <s v="Adult"/>
    <x v="3"/>
  </r>
  <r>
    <n v="501"/>
    <x v="0"/>
    <n v="29"/>
    <x v="0"/>
    <x v="0"/>
    <x v="1"/>
    <d v="2023-04-07T00:00:00"/>
    <n v="9"/>
    <n v="31978"/>
    <x v="1"/>
    <x v="0"/>
    <x v="2"/>
    <s v="Adult"/>
    <x v="2"/>
  </r>
  <r>
    <n v="502"/>
    <x v="0"/>
    <n v="49"/>
    <x v="0"/>
    <x v="0"/>
    <x v="2"/>
    <d v="2023-09-28T00:00:00"/>
    <n v="9"/>
    <n v="24056"/>
    <x v="1"/>
    <x v="0"/>
    <x v="8"/>
    <s v="Middle Age"/>
    <x v="8"/>
  </r>
  <r>
    <n v="503"/>
    <x v="0"/>
    <n v="45"/>
    <x v="2"/>
    <x v="4"/>
    <x v="0"/>
    <d v="2023-05-29T00:00:00"/>
    <n v="6"/>
    <n v="31007"/>
    <x v="1"/>
    <x v="0"/>
    <x v="6"/>
    <s v="Middle Age"/>
    <x v="6"/>
  </r>
  <r>
    <n v="504"/>
    <x v="1"/>
    <n v="30"/>
    <x v="3"/>
    <x v="0"/>
    <x v="0"/>
    <d v="2023-10-17T00:00:00"/>
    <n v="10"/>
    <n v="45169"/>
    <x v="1"/>
    <x v="0"/>
    <x v="5"/>
    <s v="Adult"/>
    <x v="5"/>
  </r>
  <r>
    <n v="505"/>
    <x v="0"/>
    <n v="16"/>
    <x v="4"/>
    <x v="2"/>
    <x v="0"/>
    <d v="2023-02-03T00:00:00"/>
    <n v="6"/>
    <n v="46632"/>
    <x v="2"/>
    <x v="0"/>
    <x v="9"/>
    <s v="Child"/>
    <x v="9"/>
  </r>
  <r>
    <n v="506"/>
    <x v="0"/>
    <n v="40"/>
    <x v="5"/>
    <x v="3"/>
    <x v="2"/>
    <d v="2023-10-15T00:00:00"/>
    <n v="3"/>
    <n v="7543"/>
    <x v="1"/>
    <x v="0"/>
    <x v="5"/>
    <s v="Middle Age"/>
    <x v="5"/>
  </r>
  <r>
    <n v="507"/>
    <x v="1"/>
    <n v="19"/>
    <x v="1"/>
    <x v="4"/>
    <x v="3"/>
    <d v="2023-07-29T00:00:00"/>
    <n v="1"/>
    <n v="23067"/>
    <x v="1"/>
    <x v="0"/>
    <x v="3"/>
    <s v="Adult"/>
    <x v="3"/>
  </r>
  <r>
    <n v="508"/>
    <x v="0"/>
    <n v="18"/>
    <x v="4"/>
    <x v="1"/>
    <x v="3"/>
    <d v="2023-05-21T00:00:00"/>
    <n v="7"/>
    <n v="47256"/>
    <x v="1"/>
    <x v="0"/>
    <x v="6"/>
    <s v="Adult"/>
    <x v="6"/>
  </r>
  <r>
    <n v="509"/>
    <x v="1"/>
    <n v="1"/>
    <x v="0"/>
    <x v="1"/>
    <x v="3"/>
    <d v="2023-07-30T00:00:00"/>
    <n v="4"/>
    <n v="27097"/>
    <x v="1"/>
    <x v="0"/>
    <x v="3"/>
    <s v="Child"/>
    <x v="3"/>
  </r>
  <r>
    <n v="510"/>
    <x v="1"/>
    <n v="78"/>
    <x v="0"/>
    <x v="3"/>
    <x v="3"/>
    <d v="2023-04-21T00:00:00"/>
    <n v="1"/>
    <n v="44847"/>
    <x v="1"/>
    <x v="0"/>
    <x v="2"/>
    <s v="Senior"/>
    <x v="2"/>
  </r>
  <r>
    <n v="511"/>
    <x v="0"/>
    <n v="47"/>
    <x v="4"/>
    <x v="4"/>
    <x v="0"/>
    <d v="2023-05-19T00:00:00"/>
    <n v="8"/>
    <n v="45512"/>
    <x v="2"/>
    <x v="0"/>
    <x v="6"/>
    <s v="Middle Age"/>
    <x v="6"/>
  </r>
  <r>
    <n v="512"/>
    <x v="1"/>
    <n v="66"/>
    <x v="0"/>
    <x v="0"/>
    <x v="0"/>
    <d v="2023-05-27T00:00:00"/>
    <n v="12"/>
    <n v="5809"/>
    <x v="1"/>
    <x v="0"/>
    <x v="6"/>
    <s v="Senior"/>
    <x v="6"/>
  </r>
  <r>
    <n v="513"/>
    <x v="0"/>
    <n v="38"/>
    <x v="3"/>
    <x v="0"/>
    <x v="1"/>
    <d v="2023-05-29T00:00:00"/>
    <n v="6"/>
    <n v="24191"/>
    <x v="0"/>
    <x v="0"/>
    <x v="6"/>
    <s v="Adult"/>
    <x v="6"/>
  </r>
  <r>
    <n v="514"/>
    <x v="1"/>
    <n v="51"/>
    <x v="2"/>
    <x v="2"/>
    <x v="2"/>
    <d v="2023-09-20T00:00:00"/>
    <n v="6"/>
    <n v="23267"/>
    <x v="1"/>
    <x v="0"/>
    <x v="8"/>
    <s v="Middle Age"/>
    <x v="8"/>
  </r>
  <r>
    <n v="515"/>
    <x v="1"/>
    <n v="63"/>
    <x v="5"/>
    <x v="2"/>
    <x v="2"/>
    <d v="2023-06-04T00:00:00"/>
    <n v="2"/>
    <n v="9206"/>
    <x v="1"/>
    <x v="0"/>
    <x v="4"/>
    <s v="Senior"/>
    <x v="4"/>
  </r>
  <r>
    <n v="516"/>
    <x v="0"/>
    <n v="4"/>
    <x v="2"/>
    <x v="0"/>
    <x v="3"/>
    <d v="2023-01-12T00:00:00"/>
    <n v="1"/>
    <n v="23057"/>
    <x v="1"/>
    <x v="0"/>
    <x v="11"/>
    <s v="Child"/>
    <x v="11"/>
  </r>
  <r>
    <n v="517"/>
    <x v="1"/>
    <n v="1"/>
    <x v="5"/>
    <x v="1"/>
    <x v="0"/>
    <d v="2023-10-09T00:00:00"/>
    <n v="13"/>
    <n v="30992"/>
    <x v="1"/>
    <x v="0"/>
    <x v="5"/>
    <s v="Child"/>
    <x v="5"/>
  </r>
  <r>
    <n v="518"/>
    <x v="1"/>
    <n v="8"/>
    <x v="5"/>
    <x v="1"/>
    <x v="3"/>
    <d v="2023-12-09T00:00:00"/>
    <n v="14"/>
    <n v="48514"/>
    <x v="2"/>
    <x v="0"/>
    <x v="1"/>
    <s v="Child"/>
    <x v="1"/>
  </r>
  <r>
    <n v="519"/>
    <x v="1"/>
    <n v="29"/>
    <x v="2"/>
    <x v="2"/>
    <x v="1"/>
    <d v="2023-04-24T00:00:00"/>
    <n v="14"/>
    <n v="17995"/>
    <x v="2"/>
    <x v="0"/>
    <x v="2"/>
    <s v="Adult"/>
    <x v="2"/>
  </r>
  <r>
    <n v="520"/>
    <x v="1"/>
    <n v="55"/>
    <x v="4"/>
    <x v="3"/>
    <x v="2"/>
    <d v="2023-11-15T00:00:00"/>
    <n v="2"/>
    <n v="46439"/>
    <x v="2"/>
    <x v="0"/>
    <x v="0"/>
    <s v="Middle Age"/>
    <x v="0"/>
  </r>
  <r>
    <n v="521"/>
    <x v="1"/>
    <n v="3"/>
    <x v="5"/>
    <x v="0"/>
    <x v="2"/>
    <d v="2023-01-19T00:00:00"/>
    <n v="4"/>
    <n v="15210"/>
    <x v="0"/>
    <x v="0"/>
    <x v="11"/>
    <s v="Child"/>
    <x v="11"/>
  </r>
  <r>
    <n v="522"/>
    <x v="0"/>
    <n v="32"/>
    <x v="2"/>
    <x v="2"/>
    <x v="3"/>
    <d v="2023-06-10T00:00:00"/>
    <n v="2"/>
    <n v="19793"/>
    <x v="2"/>
    <x v="0"/>
    <x v="4"/>
    <s v="Adult"/>
    <x v="4"/>
  </r>
  <r>
    <n v="523"/>
    <x v="1"/>
    <n v="10"/>
    <x v="5"/>
    <x v="2"/>
    <x v="1"/>
    <d v="2023-10-02T00:00:00"/>
    <n v="1"/>
    <n v="28270"/>
    <x v="1"/>
    <x v="0"/>
    <x v="5"/>
    <s v="Child"/>
    <x v="5"/>
  </r>
  <r>
    <n v="524"/>
    <x v="0"/>
    <n v="74"/>
    <x v="1"/>
    <x v="0"/>
    <x v="2"/>
    <d v="2023-05-29T00:00:00"/>
    <n v="7"/>
    <n v="7197"/>
    <x v="1"/>
    <x v="0"/>
    <x v="6"/>
    <s v="Senior"/>
    <x v="6"/>
  </r>
  <r>
    <n v="525"/>
    <x v="1"/>
    <n v="83"/>
    <x v="4"/>
    <x v="0"/>
    <x v="1"/>
    <d v="2023-05-10T00:00:00"/>
    <n v="11"/>
    <n v="9452"/>
    <x v="1"/>
    <x v="0"/>
    <x v="6"/>
    <s v="Senior"/>
    <x v="6"/>
  </r>
  <r>
    <n v="526"/>
    <x v="0"/>
    <n v="34"/>
    <x v="3"/>
    <x v="1"/>
    <x v="1"/>
    <d v="2023-11-06T00:00:00"/>
    <n v="11"/>
    <n v="43486"/>
    <x v="1"/>
    <x v="0"/>
    <x v="0"/>
    <s v="Adult"/>
    <x v="0"/>
  </r>
  <r>
    <n v="527"/>
    <x v="0"/>
    <n v="87"/>
    <x v="5"/>
    <x v="3"/>
    <x v="3"/>
    <d v="2023-11-20T00:00:00"/>
    <n v="12"/>
    <n v="16859"/>
    <x v="2"/>
    <x v="0"/>
    <x v="0"/>
    <s v="Senior"/>
    <x v="0"/>
  </r>
  <r>
    <n v="528"/>
    <x v="1"/>
    <n v="55"/>
    <x v="1"/>
    <x v="3"/>
    <x v="0"/>
    <d v="2023-06-10T00:00:00"/>
    <n v="8"/>
    <n v="29236"/>
    <x v="1"/>
    <x v="0"/>
    <x v="4"/>
    <s v="Middle Age"/>
    <x v="4"/>
  </r>
  <r>
    <n v="529"/>
    <x v="1"/>
    <n v="32"/>
    <x v="3"/>
    <x v="0"/>
    <x v="3"/>
    <d v="2023-08-11T00:00:00"/>
    <n v="6"/>
    <n v="33899"/>
    <x v="1"/>
    <x v="0"/>
    <x v="10"/>
    <s v="Adult"/>
    <x v="10"/>
  </r>
  <r>
    <n v="530"/>
    <x v="1"/>
    <n v="50"/>
    <x v="3"/>
    <x v="4"/>
    <x v="0"/>
    <d v="2023-10-08T00:00:00"/>
    <n v="4"/>
    <n v="34083"/>
    <x v="1"/>
    <x v="0"/>
    <x v="5"/>
    <s v="Middle Age"/>
    <x v="5"/>
  </r>
  <r>
    <n v="531"/>
    <x v="0"/>
    <n v="7"/>
    <x v="5"/>
    <x v="2"/>
    <x v="1"/>
    <d v="2023-03-19T00:00:00"/>
    <n v="14"/>
    <n v="4172"/>
    <x v="1"/>
    <x v="0"/>
    <x v="7"/>
    <s v="Child"/>
    <x v="7"/>
  </r>
  <r>
    <n v="532"/>
    <x v="1"/>
    <n v="8"/>
    <x v="2"/>
    <x v="2"/>
    <x v="0"/>
    <d v="2023-11-17T00:00:00"/>
    <n v="6"/>
    <n v="47926"/>
    <x v="1"/>
    <x v="0"/>
    <x v="0"/>
    <s v="Child"/>
    <x v="0"/>
  </r>
  <r>
    <n v="533"/>
    <x v="0"/>
    <n v="65"/>
    <x v="5"/>
    <x v="0"/>
    <x v="1"/>
    <d v="2023-04-14T00:00:00"/>
    <n v="3"/>
    <n v="18663"/>
    <x v="1"/>
    <x v="0"/>
    <x v="2"/>
    <s v="Senior"/>
    <x v="2"/>
  </r>
  <r>
    <n v="534"/>
    <x v="0"/>
    <n v="57"/>
    <x v="1"/>
    <x v="4"/>
    <x v="2"/>
    <d v="2023-02-10T00:00:00"/>
    <n v="12"/>
    <n v="29540"/>
    <x v="1"/>
    <x v="0"/>
    <x v="9"/>
    <s v="Middle Age"/>
    <x v="9"/>
  </r>
  <r>
    <n v="535"/>
    <x v="0"/>
    <n v="67"/>
    <x v="3"/>
    <x v="1"/>
    <x v="2"/>
    <d v="2023-07-23T00:00:00"/>
    <n v="8"/>
    <n v="21053"/>
    <x v="1"/>
    <x v="0"/>
    <x v="3"/>
    <s v="Senior"/>
    <x v="3"/>
  </r>
  <r>
    <n v="536"/>
    <x v="1"/>
    <n v="88"/>
    <x v="5"/>
    <x v="0"/>
    <x v="2"/>
    <d v="2023-05-14T00:00:00"/>
    <n v="10"/>
    <n v="13085"/>
    <x v="1"/>
    <x v="0"/>
    <x v="6"/>
    <s v="Senior"/>
    <x v="6"/>
  </r>
  <r>
    <n v="537"/>
    <x v="1"/>
    <n v="87"/>
    <x v="2"/>
    <x v="0"/>
    <x v="3"/>
    <d v="2023-06-04T00:00:00"/>
    <n v="14"/>
    <n v="32564"/>
    <x v="1"/>
    <x v="0"/>
    <x v="4"/>
    <s v="Senior"/>
    <x v="4"/>
  </r>
  <r>
    <n v="538"/>
    <x v="0"/>
    <n v="59"/>
    <x v="5"/>
    <x v="2"/>
    <x v="3"/>
    <d v="2023-02-28T00:00:00"/>
    <n v="13"/>
    <n v="26209"/>
    <x v="1"/>
    <x v="0"/>
    <x v="9"/>
    <s v="Middle Age"/>
    <x v="9"/>
  </r>
  <r>
    <n v="539"/>
    <x v="0"/>
    <n v="72"/>
    <x v="4"/>
    <x v="0"/>
    <x v="1"/>
    <d v="2023-04-28T00:00:00"/>
    <n v="13"/>
    <n v="5981"/>
    <x v="1"/>
    <x v="0"/>
    <x v="2"/>
    <s v="Senior"/>
    <x v="2"/>
  </r>
  <r>
    <n v="540"/>
    <x v="1"/>
    <n v="54"/>
    <x v="2"/>
    <x v="0"/>
    <x v="2"/>
    <d v="2023-11-27T00:00:00"/>
    <n v="2"/>
    <n v="23153"/>
    <x v="1"/>
    <x v="0"/>
    <x v="0"/>
    <s v="Middle Age"/>
    <x v="0"/>
  </r>
  <r>
    <n v="541"/>
    <x v="0"/>
    <n v="67"/>
    <x v="1"/>
    <x v="0"/>
    <x v="3"/>
    <d v="2023-05-12T00:00:00"/>
    <n v="5"/>
    <n v="7247"/>
    <x v="1"/>
    <x v="0"/>
    <x v="6"/>
    <s v="Senior"/>
    <x v="6"/>
  </r>
  <r>
    <n v="542"/>
    <x v="1"/>
    <n v="51"/>
    <x v="3"/>
    <x v="2"/>
    <x v="2"/>
    <d v="2023-12-22T00:00:00"/>
    <n v="1"/>
    <n v="12553"/>
    <x v="1"/>
    <x v="0"/>
    <x v="1"/>
    <s v="Middle Age"/>
    <x v="1"/>
  </r>
  <r>
    <n v="543"/>
    <x v="0"/>
    <n v="8"/>
    <x v="5"/>
    <x v="1"/>
    <x v="3"/>
    <d v="2023-07-24T00:00:00"/>
    <n v="6"/>
    <n v="22811"/>
    <x v="1"/>
    <x v="0"/>
    <x v="3"/>
    <s v="Child"/>
    <x v="3"/>
  </r>
  <r>
    <n v="544"/>
    <x v="1"/>
    <n v="34"/>
    <x v="2"/>
    <x v="1"/>
    <x v="0"/>
    <d v="2023-11-27T00:00:00"/>
    <n v="2"/>
    <n v="31845"/>
    <x v="1"/>
    <x v="0"/>
    <x v="0"/>
    <s v="Adult"/>
    <x v="0"/>
  </r>
  <r>
    <n v="545"/>
    <x v="0"/>
    <n v="35"/>
    <x v="4"/>
    <x v="0"/>
    <x v="0"/>
    <d v="2023-10-22T00:00:00"/>
    <n v="4"/>
    <n v="8135"/>
    <x v="1"/>
    <x v="0"/>
    <x v="5"/>
    <s v="Adult"/>
    <x v="5"/>
  </r>
  <r>
    <n v="546"/>
    <x v="1"/>
    <n v="88"/>
    <x v="2"/>
    <x v="2"/>
    <x v="2"/>
    <d v="2023-02-12T00:00:00"/>
    <n v="6"/>
    <n v="7573"/>
    <x v="1"/>
    <x v="0"/>
    <x v="9"/>
    <s v="Senior"/>
    <x v="9"/>
  </r>
  <r>
    <n v="547"/>
    <x v="0"/>
    <n v="78"/>
    <x v="0"/>
    <x v="1"/>
    <x v="1"/>
    <d v="2023-04-22T00:00:00"/>
    <n v="10"/>
    <n v="15731"/>
    <x v="2"/>
    <x v="0"/>
    <x v="2"/>
    <s v="Senior"/>
    <x v="2"/>
  </r>
  <r>
    <n v="548"/>
    <x v="1"/>
    <n v="32"/>
    <x v="4"/>
    <x v="1"/>
    <x v="3"/>
    <d v="2023-02-06T00:00:00"/>
    <n v="11"/>
    <n v="9189"/>
    <x v="1"/>
    <x v="0"/>
    <x v="9"/>
    <s v="Adult"/>
    <x v="9"/>
  </r>
  <r>
    <n v="549"/>
    <x v="1"/>
    <n v="46"/>
    <x v="1"/>
    <x v="1"/>
    <x v="3"/>
    <d v="2023-04-28T00:00:00"/>
    <n v="8"/>
    <n v="16541"/>
    <x v="0"/>
    <x v="0"/>
    <x v="2"/>
    <s v="Middle Age"/>
    <x v="2"/>
  </r>
  <r>
    <n v="550"/>
    <x v="0"/>
    <n v="16"/>
    <x v="3"/>
    <x v="2"/>
    <x v="0"/>
    <d v="2023-12-02T00:00:00"/>
    <n v="12"/>
    <n v="45646"/>
    <x v="1"/>
    <x v="0"/>
    <x v="1"/>
    <s v="Child"/>
    <x v="1"/>
  </r>
  <r>
    <n v="551"/>
    <x v="0"/>
    <n v="68"/>
    <x v="1"/>
    <x v="2"/>
    <x v="0"/>
    <d v="2023-03-09T00:00:00"/>
    <n v="8"/>
    <n v="13087"/>
    <x v="1"/>
    <x v="0"/>
    <x v="7"/>
    <s v="Senior"/>
    <x v="7"/>
  </r>
  <r>
    <n v="552"/>
    <x v="1"/>
    <n v="37"/>
    <x v="5"/>
    <x v="0"/>
    <x v="1"/>
    <d v="2023-05-08T00:00:00"/>
    <n v="11"/>
    <n v="48435"/>
    <x v="1"/>
    <x v="0"/>
    <x v="6"/>
    <s v="Adult"/>
    <x v="6"/>
  </r>
  <r>
    <n v="553"/>
    <x v="0"/>
    <n v="54"/>
    <x v="2"/>
    <x v="3"/>
    <x v="1"/>
    <d v="2023-07-16T00:00:00"/>
    <n v="6"/>
    <n v="4776"/>
    <x v="1"/>
    <x v="0"/>
    <x v="3"/>
    <s v="Middle Age"/>
    <x v="3"/>
  </r>
  <r>
    <n v="554"/>
    <x v="1"/>
    <n v="85"/>
    <x v="0"/>
    <x v="1"/>
    <x v="1"/>
    <d v="2023-10-30T00:00:00"/>
    <n v="4"/>
    <n v="44079"/>
    <x v="1"/>
    <x v="0"/>
    <x v="5"/>
    <s v="Senior"/>
    <x v="5"/>
  </r>
  <r>
    <n v="555"/>
    <x v="0"/>
    <n v="14"/>
    <x v="4"/>
    <x v="3"/>
    <x v="2"/>
    <d v="2023-11-06T00:00:00"/>
    <n v="8"/>
    <n v="29564"/>
    <x v="1"/>
    <x v="0"/>
    <x v="0"/>
    <s v="Child"/>
    <x v="0"/>
  </r>
  <r>
    <n v="556"/>
    <x v="1"/>
    <n v="55"/>
    <x v="4"/>
    <x v="2"/>
    <x v="0"/>
    <d v="2023-10-04T00:00:00"/>
    <n v="13"/>
    <n v="30835"/>
    <x v="1"/>
    <x v="0"/>
    <x v="5"/>
    <s v="Middle Age"/>
    <x v="5"/>
  </r>
  <r>
    <n v="557"/>
    <x v="1"/>
    <n v="48"/>
    <x v="2"/>
    <x v="2"/>
    <x v="2"/>
    <d v="2023-01-23T00:00:00"/>
    <n v="8"/>
    <n v="9697"/>
    <x v="1"/>
    <x v="0"/>
    <x v="11"/>
    <s v="Middle Age"/>
    <x v="11"/>
  </r>
  <r>
    <n v="558"/>
    <x v="1"/>
    <n v="82"/>
    <x v="0"/>
    <x v="2"/>
    <x v="0"/>
    <d v="2023-03-16T00:00:00"/>
    <n v="10"/>
    <n v="16629"/>
    <x v="1"/>
    <x v="0"/>
    <x v="7"/>
    <s v="Senior"/>
    <x v="7"/>
  </r>
  <r>
    <n v="559"/>
    <x v="1"/>
    <n v="7"/>
    <x v="2"/>
    <x v="3"/>
    <x v="0"/>
    <d v="2023-09-11T00:00:00"/>
    <n v="14"/>
    <n v="10386"/>
    <x v="1"/>
    <x v="0"/>
    <x v="8"/>
    <s v="Child"/>
    <x v="8"/>
  </r>
  <r>
    <n v="560"/>
    <x v="1"/>
    <n v="74"/>
    <x v="5"/>
    <x v="2"/>
    <x v="3"/>
    <d v="2023-03-04T00:00:00"/>
    <n v="1"/>
    <n v="19046"/>
    <x v="1"/>
    <x v="0"/>
    <x v="7"/>
    <s v="Senior"/>
    <x v="7"/>
  </r>
  <r>
    <n v="561"/>
    <x v="1"/>
    <n v="7"/>
    <x v="1"/>
    <x v="0"/>
    <x v="0"/>
    <d v="2023-08-25T00:00:00"/>
    <n v="4"/>
    <n v="10044"/>
    <x v="1"/>
    <x v="0"/>
    <x v="10"/>
    <s v="Child"/>
    <x v="10"/>
  </r>
  <r>
    <n v="562"/>
    <x v="0"/>
    <n v="33"/>
    <x v="4"/>
    <x v="2"/>
    <x v="0"/>
    <d v="2023-05-02T00:00:00"/>
    <n v="4"/>
    <n v="11615"/>
    <x v="2"/>
    <x v="0"/>
    <x v="6"/>
    <s v="Adult"/>
    <x v="6"/>
  </r>
  <r>
    <n v="563"/>
    <x v="0"/>
    <n v="23"/>
    <x v="5"/>
    <x v="4"/>
    <x v="2"/>
    <d v="2023-07-16T00:00:00"/>
    <n v="7"/>
    <n v="49802"/>
    <x v="2"/>
    <x v="0"/>
    <x v="3"/>
    <s v="Adult"/>
    <x v="3"/>
  </r>
  <r>
    <n v="564"/>
    <x v="0"/>
    <n v="85"/>
    <x v="1"/>
    <x v="3"/>
    <x v="0"/>
    <d v="2023-05-09T00:00:00"/>
    <n v="14"/>
    <n v="7060"/>
    <x v="0"/>
    <x v="0"/>
    <x v="6"/>
    <s v="Senior"/>
    <x v="6"/>
  </r>
  <r>
    <n v="565"/>
    <x v="1"/>
    <n v="19"/>
    <x v="5"/>
    <x v="4"/>
    <x v="2"/>
    <d v="2023-01-31T00:00:00"/>
    <n v="14"/>
    <n v="12900"/>
    <x v="1"/>
    <x v="0"/>
    <x v="11"/>
    <s v="Adult"/>
    <x v="11"/>
  </r>
  <r>
    <n v="566"/>
    <x v="1"/>
    <n v="19"/>
    <x v="0"/>
    <x v="2"/>
    <x v="1"/>
    <d v="2023-04-06T00:00:00"/>
    <n v="11"/>
    <n v="7581"/>
    <x v="2"/>
    <x v="0"/>
    <x v="2"/>
    <s v="Adult"/>
    <x v="2"/>
  </r>
  <r>
    <n v="567"/>
    <x v="1"/>
    <n v="36"/>
    <x v="4"/>
    <x v="0"/>
    <x v="0"/>
    <d v="2023-04-22T00:00:00"/>
    <n v="7"/>
    <n v="36782"/>
    <x v="2"/>
    <x v="0"/>
    <x v="2"/>
    <s v="Adult"/>
    <x v="2"/>
  </r>
  <r>
    <n v="568"/>
    <x v="1"/>
    <n v="29"/>
    <x v="2"/>
    <x v="1"/>
    <x v="0"/>
    <d v="2023-03-18T00:00:00"/>
    <n v="13"/>
    <n v="22173"/>
    <x v="1"/>
    <x v="0"/>
    <x v="7"/>
    <s v="Adult"/>
    <x v="7"/>
  </r>
  <r>
    <n v="569"/>
    <x v="0"/>
    <n v="60"/>
    <x v="2"/>
    <x v="2"/>
    <x v="2"/>
    <d v="2023-03-06T00:00:00"/>
    <n v="11"/>
    <n v="14997"/>
    <x v="1"/>
    <x v="0"/>
    <x v="7"/>
    <s v="Senior"/>
    <x v="7"/>
  </r>
  <r>
    <n v="570"/>
    <x v="0"/>
    <n v="82"/>
    <x v="1"/>
    <x v="0"/>
    <x v="1"/>
    <d v="2023-09-19T00:00:00"/>
    <n v="8"/>
    <n v="45403"/>
    <x v="0"/>
    <x v="0"/>
    <x v="8"/>
    <s v="Senior"/>
    <x v="8"/>
  </r>
  <r>
    <n v="571"/>
    <x v="1"/>
    <n v="2"/>
    <x v="3"/>
    <x v="3"/>
    <x v="3"/>
    <d v="2023-03-25T00:00:00"/>
    <n v="11"/>
    <n v="48416"/>
    <x v="1"/>
    <x v="0"/>
    <x v="7"/>
    <s v="Child"/>
    <x v="7"/>
  </r>
  <r>
    <n v="572"/>
    <x v="0"/>
    <n v="1"/>
    <x v="0"/>
    <x v="4"/>
    <x v="1"/>
    <d v="2023-01-30T00:00:00"/>
    <n v="5"/>
    <n v="9148"/>
    <x v="1"/>
    <x v="0"/>
    <x v="11"/>
    <s v="Child"/>
    <x v="11"/>
  </r>
  <r>
    <n v="573"/>
    <x v="0"/>
    <n v="47"/>
    <x v="1"/>
    <x v="4"/>
    <x v="2"/>
    <d v="2023-06-29T00:00:00"/>
    <n v="7"/>
    <n v="20748"/>
    <x v="1"/>
    <x v="0"/>
    <x v="4"/>
    <s v="Middle Age"/>
    <x v="4"/>
  </r>
  <r>
    <n v="574"/>
    <x v="1"/>
    <n v="69"/>
    <x v="3"/>
    <x v="4"/>
    <x v="1"/>
    <d v="2023-07-29T00:00:00"/>
    <n v="8"/>
    <n v="16022"/>
    <x v="1"/>
    <x v="0"/>
    <x v="3"/>
    <s v="Senior"/>
    <x v="3"/>
  </r>
  <r>
    <n v="575"/>
    <x v="0"/>
    <n v="20"/>
    <x v="5"/>
    <x v="3"/>
    <x v="2"/>
    <d v="2023-08-16T00:00:00"/>
    <n v="9"/>
    <n v="22013"/>
    <x v="2"/>
    <x v="0"/>
    <x v="10"/>
    <s v="Adult"/>
    <x v="10"/>
  </r>
  <r>
    <n v="576"/>
    <x v="1"/>
    <n v="11"/>
    <x v="0"/>
    <x v="0"/>
    <x v="2"/>
    <d v="2023-01-17T00:00:00"/>
    <n v="3"/>
    <n v="40687"/>
    <x v="1"/>
    <x v="0"/>
    <x v="11"/>
    <s v="Child"/>
    <x v="11"/>
  </r>
  <r>
    <n v="577"/>
    <x v="0"/>
    <n v="2"/>
    <x v="5"/>
    <x v="3"/>
    <x v="3"/>
    <d v="2023-09-28T00:00:00"/>
    <n v="3"/>
    <n v="17886"/>
    <x v="1"/>
    <x v="0"/>
    <x v="8"/>
    <s v="Child"/>
    <x v="8"/>
  </r>
  <r>
    <n v="578"/>
    <x v="1"/>
    <n v="67"/>
    <x v="4"/>
    <x v="4"/>
    <x v="0"/>
    <d v="2023-05-21T00:00:00"/>
    <n v="4"/>
    <n v="27256"/>
    <x v="1"/>
    <x v="0"/>
    <x v="6"/>
    <s v="Senior"/>
    <x v="6"/>
  </r>
  <r>
    <n v="579"/>
    <x v="1"/>
    <n v="87"/>
    <x v="0"/>
    <x v="2"/>
    <x v="2"/>
    <d v="2023-08-18T00:00:00"/>
    <n v="5"/>
    <n v="32005"/>
    <x v="1"/>
    <x v="0"/>
    <x v="10"/>
    <s v="Senior"/>
    <x v="10"/>
  </r>
  <r>
    <n v="580"/>
    <x v="1"/>
    <n v="12"/>
    <x v="3"/>
    <x v="1"/>
    <x v="2"/>
    <d v="2023-12-01T00:00:00"/>
    <n v="10"/>
    <n v="8638"/>
    <x v="1"/>
    <x v="0"/>
    <x v="1"/>
    <s v="Child"/>
    <x v="1"/>
  </r>
  <r>
    <n v="581"/>
    <x v="1"/>
    <n v="20"/>
    <x v="4"/>
    <x v="3"/>
    <x v="3"/>
    <d v="2023-05-11T00:00:00"/>
    <n v="1"/>
    <n v="39419"/>
    <x v="1"/>
    <x v="0"/>
    <x v="6"/>
    <s v="Adult"/>
    <x v="6"/>
  </r>
  <r>
    <n v="582"/>
    <x v="0"/>
    <n v="5"/>
    <x v="2"/>
    <x v="3"/>
    <x v="2"/>
    <d v="2023-11-25T00:00:00"/>
    <n v="7"/>
    <n v="35377"/>
    <x v="2"/>
    <x v="0"/>
    <x v="0"/>
    <s v="Child"/>
    <x v="0"/>
  </r>
  <r>
    <n v="583"/>
    <x v="1"/>
    <n v="37"/>
    <x v="3"/>
    <x v="0"/>
    <x v="0"/>
    <d v="2023-05-30T00:00:00"/>
    <n v="9"/>
    <n v="42708"/>
    <x v="1"/>
    <x v="0"/>
    <x v="6"/>
    <s v="Adult"/>
    <x v="6"/>
  </r>
  <r>
    <n v="584"/>
    <x v="1"/>
    <n v="38"/>
    <x v="1"/>
    <x v="0"/>
    <x v="3"/>
    <d v="2023-11-26T00:00:00"/>
    <n v="8"/>
    <n v="45116"/>
    <x v="1"/>
    <x v="0"/>
    <x v="0"/>
    <s v="Adult"/>
    <x v="0"/>
  </r>
  <r>
    <n v="585"/>
    <x v="1"/>
    <n v="9"/>
    <x v="2"/>
    <x v="3"/>
    <x v="0"/>
    <d v="2023-03-22T00:00:00"/>
    <n v="5"/>
    <n v="38634"/>
    <x v="1"/>
    <x v="0"/>
    <x v="7"/>
    <s v="Child"/>
    <x v="7"/>
  </r>
  <r>
    <n v="586"/>
    <x v="0"/>
    <n v="53"/>
    <x v="2"/>
    <x v="4"/>
    <x v="0"/>
    <d v="2023-08-19T00:00:00"/>
    <n v="14"/>
    <n v="18755"/>
    <x v="1"/>
    <x v="0"/>
    <x v="10"/>
    <s v="Middle Age"/>
    <x v="10"/>
  </r>
  <r>
    <n v="587"/>
    <x v="1"/>
    <n v="44"/>
    <x v="1"/>
    <x v="1"/>
    <x v="3"/>
    <d v="2023-12-16T00:00:00"/>
    <n v="14"/>
    <n v="25382"/>
    <x v="2"/>
    <x v="0"/>
    <x v="1"/>
    <s v="Middle Age"/>
    <x v="1"/>
  </r>
  <r>
    <n v="588"/>
    <x v="0"/>
    <n v="86"/>
    <x v="0"/>
    <x v="0"/>
    <x v="2"/>
    <d v="2023-10-28T00:00:00"/>
    <n v="4"/>
    <n v="24394"/>
    <x v="2"/>
    <x v="0"/>
    <x v="5"/>
    <s v="Senior"/>
    <x v="5"/>
  </r>
  <r>
    <n v="589"/>
    <x v="1"/>
    <n v="24"/>
    <x v="2"/>
    <x v="4"/>
    <x v="0"/>
    <d v="2023-02-19T00:00:00"/>
    <n v="12"/>
    <n v="4253"/>
    <x v="2"/>
    <x v="0"/>
    <x v="9"/>
    <s v="Adult"/>
    <x v="9"/>
  </r>
  <r>
    <n v="590"/>
    <x v="0"/>
    <n v="81"/>
    <x v="3"/>
    <x v="2"/>
    <x v="0"/>
    <d v="2023-07-25T00:00:00"/>
    <n v="7"/>
    <n v="39710"/>
    <x v="1"/>
    <x v="0"/>
    <x v="3"/>
    <s v="Senior"/>
    <x v="3"/>
  </r>
  <r>
    <n v="591"/>
    <x v="0"/>
    <n v="74"/>
    <x v="4"/>
    <x v="0"/>
    <x v="0"/>
    <d v="2023-03-18T00:00:00"/>
    <n v="5"/>
    <n v="47098"/>
    <x v="1"/>
    <x v="0"/>
    <x v="7"/>
    <s v="Senior"/>
    <x v="7"/>
  </r>
  <r>
    <n v="592"/>
    <x v="1"/>
    <n v="30"/>
    <x v="2"/>
    <x v="4"/>
    <x v="0"/>
    <d v="2023-04-16T00:00:00"/>
    <n v="7"/>
    <n v="2864"/>
    <x v="1"/>
    <x v="0"/>
    <x v="2"/>
    <s v="Adult"/>
    <x v="2"/>
  </r>
  <r>
    <n v="593"/>
    <x v="0"/>
    <n v="59"/>
    <x v="3"/>
    <x v="4"/>
    <x v="3"/>
    <d v="2023-11-18T00:00:00"/>
    <n v="12"/>
    <n v="36036"/>
    <x v="1"/>
    <x v="0"/>
    <x v="0"/>
    <s v="Middle Age"/>
    <x v="0"/>
  </r>
  <r>
    <n v="594"/>
    <x v="1"/>
    <n v="87"/>
    <x v="5"/>
    <x v="1"/>
    <x v="3"/>
    <d v="2023-06-23T00:00:00"/>
    <n v="1"/>
    <n v="42222"/>
    <x v="2"/>
    <x v="0"/>
    <x v="4"/>
    <s v="Senior"/>
    <x v="4"/>
  </r>
  <r>
    <n v="595"/>
    <x v="1"/>
    <n v="81"/>
    <x v="3"/>
    <x v="1"/>
    <x v="1"/>
    <d v="2023-03-06T00:00:00"/>
    <n v="1"/>
    <n v="15666"/>
    <x v="2"/>
    <x v="0"/>
    <x v="7"/>
    <s v="Senior"/>
    <x v="7"/>
  </r>
  <r>
    <n v="596"/>
    <x v="1"/>
    <n v="81"/>
    <x v="4"/>
    <x v="2"/>
    <x v="1"/>
    <d v="2023-07-24T00:00:00"/>
    <n v="10"/>
    <n v="22955"/>
    <x v="2"/>
    <x v="0"/>
    <x v="3"/>
    <s v="Senior"/>
    <x v="3"/>
  </r>
  <r>
    <n v="597"/>
    <x v="0"/>
    <n v="14"/>
    <x v="3"/>
    <x v="4"/>
    <x v="0"/>
    <d v="2023-08-13T00:00:00"/>
    <n v="14"/>
    <n v="47138"/>
    <x v="0"/>
    <x v="0"/>
    <x v="10"/>
    <s v="Child"/>
    <x v="10"/>
  </r>
  <r>
    <n v="598"/>
    <x v="0"/>
    <n v="9"/>
    <x v="1"/>
    <x v="4"/>
    <x v="2"/>
    <d v="2023-08-01T00:00:00"/>
    <n v="13"/>
    <n v="39997"/>
    <x v="2"/>
    <x v="0"/>
    <x v="10"/>
    <s v="Child"/>
    <x v="10"/>
  </r>
  <r>
    <n v="599"/>
    <x v="1"/>
    <n v="40"/>
    <x v="4"/>
    <x v="1"/>
    <x v="0"/>
    <d v="2023-04-20T00:00:00"/>
    <n v="3"/>
    <n v="18309"/>
    <x v="1"/>
    <x v="0"/>
    <x v="2"/>
    <s v="Middle Age"/>
    <x v="2"/>
  </r>
  <r>
    <n v="600"/>
    <x v="1"/>
    <n v="66"/>
    <x v="0"/>
    <x v="0"/>
    <x v="2"/>
    <d v="2023-07-26T00:00:00"/>
    <n v="14"/>
    <n v="6054"/>
    <x v="1"/>
    <x v="0"/>
    <x v="3"/>
    <s v="Senior"/>
    <x v="3"/>
  </r>
  <r>
    <n v="601"/>
    <x v="0"/>
    <n v="25"/>
    <x v="5"/>
    <x v="0"/>
    <x v="0"/>
    <d v="2023-09-04T00:00:00"/>
    <n v="11"/>
    <n v="2935"/>
    <x v="1"/>
    <x v="0"/>
    <x v="8"/>
    <s v="Adult"/>
    <x v="8"/>
  </r>
  <r>
    <n v="602"/>
    <x v="1"/>
    <n v="73"/>
    <x v="1"/>
    <x v="3"/>
    <x v="1"/>
    <d v="2023-07-28T00:00:00"/>
    <n v="2"/>
    <n v="46940"/>
    <x v="1"/>
    <x v="0"/>
    <x v="3"/>
    <s v="Senior"/>
    <x v="3"/>
  </r>
  <r>
    <n v="603"/>
    <x v="1"/>
    <n v="22"/>
    <x v="0"/>
    <x v="1"/>
    <x v="1"/>
    <d v="2023-03-16T00:00:00"/>
    <n v="2"/>
    <n v="24778"/>
    <x v="1"/>
    <x v="0"/>
    <x v="7"/>
    <s v="Adult"/>
    <x v="7"/>
  </r>
  <r>
    <n v="604"/>
    <x v="1"/>
    <n v="4"/>
    <x v="3"/>
    <x v="3"/>
    <x v="2"/>
    <d v="2023-12-03T00:00:00"/>
    <n v="7"/>
    <n v="45298"/>
    <x v="1"/>
    <x v="0"/>
    <x v="1"/>
    <s v="Child"/>
    <x v="1"/>
  </r>
  <r>
    <n v="605"/>
    <x v="0"/>
    <n v="26"/>
    <x v="4"/>
    <x v="1"/>
    <x v="0"/>
    <d v="2023-10-30T00:00:00"/>
    <n v="12"/>
    <n v="18709"/>
    <x v="2"/>
    <x v="0"/>
    <x v="5"/>
    <s v="Adult"/>
    <x v="5"/>
  </r>
  <r>
    <n v="606"/>
    <x v="0"/>
    <n v="58"/>
    <x v="5"/>
    <x v="2"/>
    <x v="2"/>
    <d v="2023-06-17T00:00:00"/>
    <n v="10"/>
    <n v="11726"/>
    <x v="1"/>
    <x v="0"/>
    <x v="4"/>
    <s v="Middle Age"/>
    <x v="4"/>
  </r>
  <r>
    <n v="607"/>
    <x v="0"/>
    <n v="29"/>
    <x v="1"/>
    <x v="4"/>
    <x v="1"/>
    <d v="2023-06-10T00:00:00"/>
    <n v="2"/>
    <n v="42542"/>
    <x v="2"/>
    <x v="0"/>
    <x v="4"/>
    <s v="Adult"/>
    <x v="4"/>
  </r>
  <r>
    <n v="608"/>
    <x v="1"/>
    <n v="87"/>
    <x v="0"/>
    <x v="2"/>
    <x v="0"/>
    <d v="2023-07-03T00:00:00"/>
    <n v="11"/>
    <n v="22245"/>
    <x v="2"/>
    <x v="0"/>
    <x v="3"/>
    <s v="Senior"/>
    <x v="3"/>
  </r>
  <r>
    <n v="609"/>
    <x v="1"/>
    <n v="37"/>
    <x v="0"/>
    <x v="1"/>
    <x v="0"/>
    <d v="2023-04-10T00:00:00"/>
    <n v="4"/>
    <n v="36753"/>
    <x v="1"/>
    <x v="0"/>
    <x v="2"/>
    <s v="Adult"/>
    <x v="2"/>
  </r>
  <r>
    <n v="610"/>
    <x v="1"/>
    <n v="75"/>
    <x v="5"/>
    <x v="4"/>
    <x v="2"/>
    <d v="2023-05-01T00:00:00"/>
    <n v="2"/>
    <n v="16252"/>
    <x v="1"/>
    <x v="0"/>
    <x v="6"/>
    <s v="Senior"/>
    <x v="6"/>
  </r>
  <r>
    <n v="611"/>
    <x v="0"/>
    <n v="70"/>
    <x v="3"/>
    <x v="0"/>
    <x v="3"/>
    <d v="2023-04-25T00:00:00"/>
    <n v="6"/>
    <n v="23316"/>
    <x v="1"/>
    <x v="0"/>
    <x v="2"/>
    <s v="Senior"/>
    <x v="2"/>
  </r>
  <r>
    <n v="612"/>
    <x v="1"/>
    <n v="18"/>
    <x v="5"/>
    <x v="0"/>
    <x v="2"/>
    <d v="2023-09-09T00:00:00"/>
    <n v="8"/>
    <n v="39371"/>
    <x v="2"/>
    <x v="0"/>
    <x v="8"/>
    <s v="Adult"/>
    <x v="8"/>
  </r>
  <r>
    <n v="613"/>
    <x v="1"/>
    <n v="85"/>
    <x v="0"/>
    <x v="3"/>
    <x v="1"/>
    <d v="2023-02-11T00:00:00"/>
    <n v="10"/>
    <n v="21162"/>
    <x v="2"/>
    <x v="0"/>
    <x v="9"/>
    <s v="Senior"/>
    <x v="9"/>
  </r>
  <r>
    <n v="614"/>
    <x v="1"/>
    <n v="42"/>
    <x v="2"/>
    <x v="1"/>
    <x v="1"/>
    <d v="2024-01-01T00:00:00"/>
    <n v="4"/>
    <n v="17960"/>
    <x v="2"/>
    <x v="1"/>
    <x v="11"/>
    <s v="Middle Age"/>
    <x v="11"/>
  </r>
  <r>
    <n v="615"/>
    <x v="1"/>
    <n v="41"/>
    <x v="1"/>
    <x v="1"/>
    <x v="1"/>
    <d v="2023-10-30T00:00:00"/>
    <n v="5"/>
    <n v="32791"/>
    <x v="1"/>
    <x v="0"/>
    <x v="5"/>
    <s v="Middle Age"/>
    <x v="5"/>
  </r>
  <r>
    <n v="616"/>
    <x v="0"/>
    <n v="38"/>
    <x v="5"/>
    <x v="0"/>
    <x v="1"/>
    <d v="2023-01-25T00:00:00"/>
    <n v="4"/>
    <n v="44230"/>
    <x v="1"/>
    <x v="0"/>
    <x v="11"/>
    <s v="Adult"/>
    <x v="11"/>
  </r>
  <r>
    <n v="617"/>
    <x v="0"/>
    <n v="34"/>
    <x v="0"/>
    <x v="2"/>
    <x v="1"/>
    <d v="2023-03-15T00:00:00"/>
    <n v="3"/>
    <n v="27216"/>
    <x v="1"/>
    <x v="0"/>
    <x v="7"/>
    <s v="Adult"/>
    <x v="7"/>
  </r>
  <r>
    <n v="618"/>
    <x v="1"/>
    <n v="17"/>
    <x v="3"/>
    <x v="4"/>
    <x v="3"/>
    <d v="2023-12-16T00:00:00"/>
    <n v="5"/>
    <n v="34467"/>
    <x v="2"/>
    <x v="0"/>
    <x v="1"/>
    <s v="Child"/>
    <x v="1"/>
  </r>
  <r>
    <n v="619"/>
    <x v="0"/>
    <n v="37"/>
    <x v="0"/>
    <x v="2"/>
    <x v="0"/>
    <d v="2023-10-18T00:00:00"/>
    <n v="14"/>
    <n v="48934"/>
    <x v="1"/>
    <x v="0"/>
    <x v="5"/>
    <s v="Adult"/>
    <x v="5"/>
  </r>
  <r>
    <n v="620"/>
    <x v="0"/>
    <n v="25"/>
    <x v="3"/>
    <x v="2"/>
    <x v="2"/>
    <d v="2023-06-17T00:00:00"/>
    <n v="9"/>
    <n v="9754"/>
    <x v="1"/>
    <x v="0"/>
    <x v="4"/>
    <s v="Adult"/>
    <x v="4"/>
  </r>
  <r>
    <n v="621"/>
    <x v="1"/>
    <n v="76"/>
    <x v="5"/>
    <x v="0"/>
    <x v="2"/>
    <d v="2023-05-02T00:00:00"/>
    <n v="8"/>
    <n v="49014"/>
    <x v="1"/>
    <x v="0"/>
    <x v="6"/>
    <s v="Senior"/>
    <x v="6"/>
  </r>
  <r>
    <n v="622"/>
    <x v="1"/>
    <n v="87"/>
    <x v="3"/>
    <x v="0"/>
    <x v="1"/>
    <d v="2023-11-22T00:00:00"/>
    <n v="8"/>
    <n v="6078"/>
    <x v="1"/>
    <x v="0"/>
    <x v="0"/>
    <s v="Senior"/>
    <x v="0"/>
  </r>
  <r>
    <n v="623"/>
    <x v="0"/>
    <n v="86"/>
    <x v="4"/>
    <x v="0"/>
    <x v="2"/>
    <d v="2023-12-05T00:00:00"/>
    <n v="8"/>
    <n v="14853"/>
    <x v="1"/>
    <x v="0"/>
    <x v="1"/>
    <s v="Senior"/>
    <x v="1"/>
  </r>
  <r>
    <n v="624"/>
    <x v="1"/>
    <n v="85"/>
    <x v="4"/>
    <x v="3"/>
    <x v="1"/>
    <d v="2023-09-29T00:00:00"/>
    <n v="12"/>
    <n v="6042"/>
    <x v="1"/>
    <x v="0"/>
    <x v="8"/>
    <s v="Senior"/>
    <x v="8"/>
  </r>
  <r>
    <n v="625"/>
    <x v="0"/>
    <n v="27"/>
    <x v="4"/>
    <x v="2"/>
    <x v="3"/>
    <d v="2023-05-10T00:00:00"/>
    <n v="8"/>
    <n v="16389"/>
    <x v="1"/>
    <x v="0"/>
    <x v="6"/>
    <s v="Adult"/>
    <x v="6"/>
  </r>
  <r>
    <n v="626"/>
    <x v="1"/>
    <n v="57"/>
    <x v="2"/>
    <x v="1"/>
    <x v="3"/>
    <d v="2023-08-18T00:00:00"/>
    <n v="7"/>
    <n v="32425"/>
    <x v="1"/>
    <x v="0"/>
    <x v="10"/>
    <s v="Middle Age"/>
    <x v="10"/>
  </r>
  <r>
    <n v="627"/>
    <x v="0"/>
    <n v="31"/>
    <x v="5"/>
    <x v="4"/>
    <x v="0"/>
    <d v="2023-06-24T00:00:00"/>
    <n v="8"/>
    <n v="4575"/>
    <x v="2"/>
    <x v="0"/>
    <x v="4"/>
    <s v="Adult"/>
    <x v="4"/>
  </r>
  <r>
    <n v="628"/>
    <x v="1"/>
    <n v="6"/>
    <x v="0"/>
    <x v="3"/>
    <x v="3"/>
    <d v="2023-09-11T00:00:00"/>
    <n v="11"/>
    <n v="41522"/>
    <x v="2"/>
    <x v="0"/>
    <x v="8"/>
    <s v="Child"/>
    <x v="8"/>
  </r>
  <r>
    <n v="629"/>
    <x v="0"/>
    <n v="40"/>
    <x v="0"/>
    <x v="1"/>
    <x v="3"/>
    <d v="2023-06-15T00:00:00"/>
    <n v="14"/>
    <n v="30179"/>
    <x v="1"/>
    <x v="0"/>
    <x v="4"/>
    <s v="Middle Age"/>
    <x v="4"/>
  </r>
  <r>
    <n v="630"/>
    <x v="0"/>
    <n v="12"/>
    <x v="2"/>
    <x v="2"/>
    <x v="0"/>
    <d v="2023-01-03T00:00:00"/>
    <n v="8"/>
    <n v="36754"/>
    <x v="2"/>
    <x v="0"/>
    <x v="11"/>
    <s v="Child"/>
    <x v="11"/>
  </r>
  <r>
    <n v="631"/>
    <x v="0"/>
    <n v="53"/>
    <x v="3"/>
    <x v="0"/>
    <x v="2"/>
    <d v="2023-10-18T00:00:00"/>
    <n v="13"/>
    <n v="20624"/>
    <x v="1"/>
    <x v="0"/>
    <x v="5"/>
    <s v="Middle Age"/>
    <x v="5"/>
  </r>
  <r>
    <n v="632"/>
    <x v="1"/>
    <n v="71"/>
    <x v="2"/>
    <x v="2"/>
    <x v="1"/>
    <d v="2023-04-14T00:00:00"/>
    <n v="14"/>
    <n v="22350"/>
    <x v="1"/>
    <x v="0"/>
    <x v="2"/>
    <s v="Senior"/>
    <x v="2"/>
  </r>
  <r>
    <n v="633"/>
    <x v="0"/>
    <n v="10"/>
    <x v="3"/>
    <x v="4"/>
    <x v="1"/>
    <d v="2023-11-27T00:00:00"/>
    <n v="8"/>
    <n v="28681"/>
    <x v="2"/>
    <x v="0"/>
    <x v="0"/>
    <s v="Child"/>
    <x v="0"/>
  </r>
  <r>
    <n v="634"/>
    <x v="0"/>
    <n v="45"/>
    <x v="3"/>
    <x v="3"/>
    <x v="2"/>
    <d v="2023-08-31T00:00:00"/>
    <n v="12"/>
    <n v="25988"/>
    <x v="2"/>
    <x v="0"/>
    <x v="10"/>
    <s v="Middle Age"/>
    <x v="10"/>
  </r>
  <r>
    <n v="635"/>
    <x v="1"/>
    <n v="17"/>
    <x v="1"/>
    <x v="3"/>
    <x v="0"/>
    <d v="2023-05-04T00:00:00"/>
    <n v="10"/>
    <n v="17470"/>
    <x v="2"/>
    <x v="0"/>
    <x v="6"/>
    <s v="Child"/>
    <x v="6"/>
  </r>
  <r>
    <n v="636"/>
    <x v="1"/>
    <n v="26"/>
    <x v="0"/>
    <x v="4"/>
    <x v="2"/>
    <d v="2023-08-30T00:00:00"/>
    <n v="7"/>
    <n v="26704"/>
    <x v="1"/>
    <x v="0"/>
    <x v="10"/>
    <s v="Adult"/>
    <x v="10"/>
  </r>
  <r>
    <n v="637"/>
    <x v="0"/>
    <n v="85"/>
    <x v="4"/>
    <x v="1"/>
    <x v="3"/>
    <d v="2023-12-03T00:00:00"/>
    <n v="12"/>
    <n v="40736"/>
    <x v="1"/>
    <x v="0"/>
    <x v="1"/>
    <s v="Senior"/>
    <x v="1"/>
  </r>
  <r>
    <n v="638"/>
    <x v="0"/>
    <n v="62"/>
    <x v="3"/>
    <x v="1"/>
    <x v="0"/>
    <d v="2023-01-13T00:00:00"/>
    <n v="1"/>
    <n v="31377"/>
    <x v="2"/>
    <x v="0"/>
    <x v="11"/>
    <s v="Senior"/>
    <x v="11"/>
  </r>
  <r>
    <n v="639"/>
    <x v="1"/>
    <n v="46"/>
    <x v="1"/>
    <x v="3"/>
    <x v="0"/>
    <d v="2023-10-02T00:00:00"/>
    <n v="4"/>
    <n v="30572"/>
    <x v="1"/>
    <x v="0"/>
    <x v="5"/>
    <s v="Middle Age"/>
    <x v="5"/>
  </r>
  <r>
    <n v="640"/>
    <x v="1"/>
    <n v="64"/>
    <x v="0"/>
    <x v="3"/>
    <x v="0"/>
    <d v="2023-11-27T00:00:00"/>
    <n v="13"/>
    <n v="9493"/>
    <x v="1"/>
    <x v="0"/>
    <x v="0"/>
    <s v="Senior"/>
    <x v="0"/>
  </r>
  <r>
    <n v="641"/>
    <x v="1"/>
    <n v="2"/>
    <x v="4"/>
    <x v="0"/>
    <x v="1"/>
    <d v="2023-11-13T00:00:00"/>
    <n v="13"/>
    <n v="6103"/>
    <x v="2"/>
    <x v="0"/>
    <x v="0"/>
    <s v="Child"/>
    <x v="0"/>
  </r>
  <r>
    <n v="642"/>
    <x v="1"/>
    <n v="54"/>
    <x v="3"/>
    <x v="1"/>
    <x v="2"/>
    <d v="2023-12-23T00:00:00"/>
    <n v="4"/>
    <n v="36844"/>
    <x v="2"/>
    <x v="0"/>
    <x v="1"/>
    <s v="Middle Age"/>
    <x v="1"/>
  </r>
  <r>
    <n v="643"/>
    <x v="1"/>
    <n v="65"/>
    <x v="3"/>
    <x v="4"/>
    <x v="0"/>
    <d v="2023-11-02T00:00:00"/>
    <n v="5"/>
    <n v="4994"/>
    <x v="2"/>
    <x v="0"/>
    <x v="0"/>
    <s v="Senior"/>
    <x v="0"/>
  </r>
  <r>
    <n v="644"/>
    <x v="0"/>
    <n v="51"/>
    <x v="2"/>
    <x v="1"/>
    <x v="0"/>
    <d v="2023-11-23T00:00:00"/>
    <n v="10"/>
    <n v="5744"/>
    <x v="1"/>
    <x v="0"/>
    <x v="0"/>
    <s v="Middle Age"/>
    <x v="0"/>
  </r>
  <r>
    <n v="645"/>
    <x v="1"/>
    <n v="53"/>
    <x v="2"/>
    <x v="0"/>
    <x v="0"/>
    <d v="2023-05-23T00:00:00"/>
    <n v="6"/>
    <n v="49234"/>
    <x v="2"/>
    <x v="0"/>
    <x v="6"/>
    <s v="Middle Age"/>
    <x v="6"/>
  </r>
  <r>
    <n v="646"/>
    <x v="0"/>
    <n v="36"/>
    <x v="0"/>
    <x v="3"/>
    <x v="2"/>
    <d v="2023-12-11T00:00:00"/>
    <n v="4"/>
    <n v="49291"/>
    <x v="1"/>
    <x v="0"/>
    <x v="1"/>
    <s v="Adult"/>
    <x v="1"/>
  </r>
  <r>
    <n v="647"/>
    <x v="0"/>
    <n v="26"/>
    <x v="4"/>
    <x v="3"/>
    <x v="1"/>
    <d v="2023-08-04T00:00:00"/>
    <n v="2"/>
    <n v="29332"/>
    <x v="1"/>
    <x v="0"/>
    <x v="10"/>
    <s v="Adult"/>
    <x v="10"/>
  </r>
  <r>
    <n v="648"/>
    <x v="0"/>
    <n v="29"/>
    <x v="3"/>
    <x v="0"/>
    <x v="3"/>
    <d v="2023-11-25T00:00:00"/>
    <n v="6"/>
    <n v="7594"/>
    <x v="1"/>
    <x v="0"/>
    <x v="0"/>
    <s v="Adult"/>
    <x v="0"/>
  </r>
  <r>
    <n v="649"/>
    <x v="1"/>
    <n v="21"/>
    <x v="0"/>
    <x v="4"/>
    <x v="1"/>
    <d v="2023-10-29T00:00:00"/>
    <n v="8"/>
    <n v="42299"/>
    <x v="1"/>
    <x v="0"/>
    <x v="5"/>
    <s v="Adult"/>
    <x v="5"/>
  </r>
  <r>
    <n v="650"/>
    <x v="0"/>
    <n v="11"/>
    <x v="0"/>
    <x v="3"/>
    <x v="0"/>
    <d v="2023-04-16T00:00:00"/>
    <n v="8"/>
    <n v="9371"/>
    <x v="1"/>
    <x v="0"/>
    <x v="2"/>
    <s v="Child"/>
    <x v="2"/>
  </r>
  <r>
    <n v="651"/>
    <x v="0"/>
    <n v="40"/>
    <x v="5"/>
    <x v="2"/>
    <x v="1"/>
    <d v="2023-02-03T00:00:00"/>
    <n v="7"/>
    <n v="49315"/>
    <x v="1"/>
    <x v="0"/>
    <x v="9"/>
    <s v="Middle Age"/>
    <x v="9"/>
  </r>
  <r>
    <n v="652"/>
    <x v="1"/>
    <n v="11"/>
    <x v="2"/>
    <x v="3"/>
    <x v="1"/>
    <d v="2023-12-07T00:00:00"/>
    <n v="6"/>
    <n v="20028"/>
    <x v="1"/>
    <x v="0"/>
    <x v="1"/>
    <s v="Child"/>
    <x v="1"/>
  </r>
  <r>
    <n v="653"/>
    <x v="0"/>
    <n v="36"/>
    <x v="4"/>
    <x v="2"/>
    <x v="3"/>
    <d v="2023-06-10T00:00:00"/>
    <n v="2"/>
    <n v="37912"/>
    <x v="1"/>
    <x v="0"/>
    <x v="4"/>
    <s v="Adult"/>
    <x v="4"/>
  </r>
  <r>
    <n v="654"/>
    <x v="0"/>
    <n v="59"/>
    <x v="3"/>
    <x v="0"/>
    <x v="2"/>
    <d v="2023-01-27T00:00:00"/>
    <n v="7"/>
    <n v="15990"/>
    <x v="1"/>
    <x v="0"/>
    <x v="11"/>
    <s v="Middle Age"/>
    <x v="11"/>
  </r>
  <r>
    <n v="655"/>
    <x v="1"/>
    <n v="39"/>
    <x v="0"/>
    <x v="0"/>
    <x v="2"/>
    <d v="2023-07-22T00:00:00"/>
    <n v="11"/>
    <n v="48851"/>
    <x v="1"/>
    <x v="0"/>
    <x v="3"/>
    <s v="Adult"/>
    <x v="3"/>
  </r>
  <r>
    <n v="656"/>
    <x v="0"/>
    <n v="54"/>
    <x v="3"/>
    <x v="3"/>
    <x v="1"/>
    <d v="2023-11-14T00:00:00"/>
    <n v="12"/>
    <n v="18626"/>
    <x v="1"/>
    <x v="0"/>
    <x v="0"/>
    <s v="Middle Age"/>
    <x v="0"/>
  </r>
  <r>
    <n v="657"/>
    <x v="0"/>
    <n v="55"/>
    <x v="5"/>
    <x v="1"/>
    <x v="1"/>
    <d v="2023-11-25T00:00:00"/>
    <n v="14"/>
    <n v="22469"/>
    <x v="2"/>
    <x v="0"/>
    <x v="0"/>
    <s v="Middle Age"/>
    <x v="0"/>
  </r>
  <r>
    <n v="658"/>
    <x v="0"/>
    <n v="24"/>
    <x v="4"/>
    <x v="2"/>
    <x v="2"/>
    <d v="2023-12-25T00:00:00"/>
    <n v="14"/>
    <n v="42722"/>
    <x v="2"/>
    <x v="0"/>
    <x v="1"/>
    <s v="Adult"/>
    <x v="1"/>
  </r>
  <r>
    <n v="659"/>
    <x v="1"/>
    <n v="22"/>
    <x v="0"/>
    <x v="4"/>
    <x v="2"/>
    <d v="2023-12-31T00:00:00"/>
    <n v="5"/>
    <n v="42037"/>
    <x v="1"/>
    <x v="0"/>
    <x v="1"/>
    <s v="Adult"/>
    <x v="1"/>
  </r>
  <r>
    <n v="660"/>
    <x v="1"/>
    <n v="69"/>
    <x v="3"/>
    <x v="3"/>
    <x v="3"/>
    <d v="2023-02-03T00:00:00"/>
    <n v="6"/>
    <n v="9130"/>
    <x v="2"/>
    <x v="0"/>
    <x v="9"/>
    <s v="Senior"/>
    <x v="9"/>
  </r>
  <r>
    <n v="661"/>
    <x v="1"/>
    <n v="56"/>
    <x v="2"/>
    <x v="4"/>
    <x v="0"/>
    <d v="2023-12-12T00:00:00"/>
    <n v="10"/>
    <n v="8828"/>
    <x v="1"/>
    <x v="0"/>
    <x v="1"/>
    <s v="Middle Age"/>
    <x v="1"/>
  </r>
  <r>
    <n v="662"/>
    <x v="0"/>
    <n v="33"/>
    <x v="5"/>
    <x v="3"/>
    <x v="1"/>
    <d v="2023-06-06T00:00:00"/>
    <n v="8"/>
    <n v="43612"/>
    <x v="1"/>
    <x v="0"/>
    <x v="4"/>
    <s v="Adult"/>
    <x v="4"/>
  </r>
  <r>
    <n v="663"/>
    <x v="0"/>
    <n v="36"/>
    <x v="4"/>
    <x v="1"/>
    <x v="2"/>
    <d v="2023-04-02T00:00:00"/>
    <n v="14"/>
    <n v="48988"/>
    <x v="2"/>
    <x v="0"/>
    <x v="2"/>
    <s v="Adult"/>
    <x v="2"/>
  </r>
  <r>
    <n v="664"/>
    <x v="1"/>
    <n v="20"/>
    <x v="5"/>
    <x v="1"/>
    <x v="1"/>
    <d v="2023-05-27T00:00:00"/>
    <n v="8"/>
    <n v="41099"/>
    <x v="1"/>
    <x v="0"/>
    <x v="6"/>
    <s v="Adult"/>
    <x v="6"/>
  </r>
  <r>
    <n v="665"/>
    <x v="0"/>
    <n v="83"/>
    <x v="2"/>
    <x v="1"/>
    <x v="1"/>
    <d v="2023-03-13T00:00:00"/>
    <n v="3"/>
    <n v="48165"/>
    <x v="0"/>
    <x v="0"/>
    <x v="7"/>
    <s v="Senior"/>
    <x v="7"/>
  </r>
  <r>
    <n v="666"/>
    <x v="0"/>
    <n v="81"/>
    <x v="4"/>
    <x v="1"/>
    <x v="2"/>
    <d v="2023-08-07T00:00:00"/>
    <n v="12"/>
    <n v="19883"/>
    <x v="1"/>
    <x v="0"/>
    <x v="10"/>
    <s v="Senior"/>
    <x v="10"/>
  </r>
  <r>
    <n v="667"/>
    <x v="1"/>
    <n v="62"/>
    <x v="5"/>
    <x v="0"/>
    <x v="3"/>
    <d v="2023-09-05T00:00:00"/>
    <n v="12"/>
    <n v="45059"/>
    <x v="2"/>
    <x v="0"/>
    <x v="8"/>
    <s v="Senior"/>
    <x v="8"/>
  </r>
  <r>
    <n v="668"/>
    <x v="1"/>
    <n v="73"/>
    <x v="1"/>
    <x v="0"/>
    <x v="1"/>
    <d v="2023-12-07T00:00:00"/>
    <n v="14"/>
    <n v="20542"/>
    <x v="1"/>
    <x v="0"/>
    <x v="1"/>
    <s v="Senior"/>
    <x v="1"/>
  </r>
  <r>
    <n v="669"/>
    <x v="0"/>
    <n v="26"/>
    <x v="2"/>
    <x v="2"/>
    <x v="3"/>
    <d v="2023-05-01T00:00:00"/>
    <n v="7"/>
    <n v="44932"/>
    <x v="1"/>
    <x v="0"/>
    <x v="6"/>
    <s v="Adult"/>
    <x v="6"/>
  </r>
  <r>
    <n v="670"/>
    <x v="0"/>
    <n v="66"/>
    <x v="2"/>
    <x v="4"/>
    <x v="2"/>
    <d v="2023-02-09T00:00:00"/>
    <n v="1"/>
    <n v="12450"/>
    <x v="1"/>
    <x v="0"/>
    <x v="9"/>
    <s v="Senior"/>
    <x v="9"/>
  </r>
  <r>
    <n v="671"/>
    <x v="0"/>
    <n v="73"/>
    <x v="2"/>
    <x v="3"/>
    <x v="0"/>
    <d v="2023-02-06T00:00:00"/>
    <n v="1"/>
    <n v="22423"/>
    <x v="2"/>
    <x v="0"/>
    <x v="9"/>
    <s v="Senior"/>
    <x v="9"/>
  </r>
  <r>
    <n v="672"/>
    <x v="1"/>
    <n v="73"/>
    <x v="1"/>
    <x v="3"/>
    <x v="0"/>
    <d v="2023-10-18T00:00:00"/>
    <n v="7"/>
    <n v="4035"/>
    <x v="1"/>
    <x v="0"/>
    <x v="5"/>
    <s v="Senior"/>
    <x v="5"/>
  </r>
  <r>
    <n v="673"/>
    <x v="1"/>
    <n v="40"/>
    <x v="1"/>
    <x v="0"/>
    <x v="1"/>
    <d v="2023-02-17T00:00:00"/>
    <n v="10"/>
    <n v="46231"/>
    <x v="0"/>
    <x v="0"/>
    <x v="9"/>
    <s v="Middle Age"/>
    <x v="9"/>
  </r>
  <r>
    <n v="674"/>
    <x v="1"/>
    <n v="17"/>
    <x v="3"/>
    <x v="3"/>
    <x v="2"/>
    <d v="2023-12-11T00:00:00"/>
    <n v="9"/>
    <n v="42745"/>
    <x v="1"/>
    <x v="0"/>
    <x v="1"/>
    <s v="Child"/>
    <x v="1"/>
  </r>
  <r>
    <n v="675"/>
    <x v="1"/>
    <n v="1"/>
    <x v="0"/>
    <x v="0"/>
    <x v="3"/>
    <d v="2023-02-10T00:00:00"/>
    <n v="7"/>
    <n v="19241"/>
    <x v="1"/>
    <x v="0"/>
    <x v="9"/>
    <s v="Child"/>
    <x v="9"/>
  </r>
  <r>
    <n v="676"/>
    <x v="0"/>
    <n v="89"/>
    <x v="5"/>
    <x v="2"/>
    <x v="1"/>
    <d v="2023-03-22T00:00:00"/>
    <n v="10"/>
    <n v="25154"/>
    <x v="1"/>
    <x v="0"/>
    <x v="7"/>
    <s v="Senior"/>
    <x v="7"/>
  </r>
  <r>
    <n v="677"/>
    <x v="1"/>
    <n v="61"/>
    <x v="3"/>
    <x v="4"/>
    <x v="2"/>
    <d v="2023-07-14T00:00:00"/>
    <n v="5"/>
    <n v="27625"/>
    <x v="1"/>
    <x v="0"/>
    <x v="3"/>
    <s v="Senior"/>
    <x v="3"/>
  </r>
  <r>
    <n v="678"/>
    <x v="1"/>
    <n v="43"/>
    <x v="5"/>
    <x v="2"/>
    <x v="2"/>
    <d v="2023-02-15T00:00:00"/>
    <n v="8"/>
    <n v="46950"/>
    <x v="2"/>
    <x v="0"/>
    <x v="9"/>
    <s v="Middle Age"/>
    <x v="9"/>
  </r>
  <r>
    <n v="679"/>
    <x v="1"/>
    <n v="42"/>
    <x v="0"/>
    <x v="1"/>
    <x v="3"/>
    <d v="2023-10-22T00:00:00"/>
    <n v="2"/>
    <n v="35066"/>
    <x v="1"/>
    <x v="0"/>
    <x v="5"/>
    <s v="Middle Age"/>
    <x v="5"/>
  </r>
  <r>
    <n v="680"/>
    <x v="1"/>
    <n v="25"/>
    <x v="1"/>
    <x v="1"/>
    <x v="1"/>
    <d v="2023-04-03T00:00:00"/>
    <n v="9"/>
    <n v="35691"/>
    <x v="1"/>
    <x v="0"/>
    <x v="2"/>
    <s v="Adult"/>
    <x v="2"/>
  </r>
  <r>
    <n v="681"/>
    <x v="1"/>
    <n v="39"/>
    <x v="0"/>
    <x v="1"/>
    <x v="2"/>
    <d v="2023-01-31T00:00:00"/>
    <n v="6"/>
    <n v="15331"/>
    <x v="1"/>
    <x v="0"/>
    <x v="11"/>
    <s v="Adult"/>
    <x v="11"/>
  </r>
  <r>
    <n v="682"/>
    <x v="0"/>
    <n v="35"/>
    <x v="1"/>
    <x v="2"/>
    <x v="2"/>
    <d v="2023-04-29T00:00:00"/>
    <n v="13"/>
    <n v="22690"/>
    <x v="1"/>
    <x v="0"/>
    <x v="2"/>
    <s v="Adult"/>
    <x v="2"/>
  </r>
  <r>
    <n v="683"/>
    <x v="0"/>
    <n v="3"/>
    <x v="0"/>
    <x v="3"/>
    <x v="2"/>
    <d v="2023-05-22T00:00:00"/>
    <n v="9"/>
    <n v="21183"/>
    <x v="2"/>
    <x v="0"/>
    <x v="6"/>
    <s v="Child"/>
    <x v="6"/>
  </r>
  <r>
    <n v="684"/>
    <x v="1"/>
    <n v="44"/>
    <x v="3"/>
    <x v="4"/>
    <x v="3"/>
    <d v="2023-05-17T00:00:00"/>
    <n v="2"/>
    <n v="41346"/>
    <x v="1"/>
    <x v="0"/>
    <x v="6"/>
    <s v="Middle Age"/>
    <x v="6"/>
  </r>
  <r>
    <n v="685"/>
    <x v="0"/>
    <n v="51"/>
    <x v="4"/>
    <x v="1"/>
    <x v="1"/>
    <d v="2023-11-06T00:00:00"/>
    <n v="3"/>
    <n v="6875"/>
    <x v="1"/>
    <x v="0"/>
    <x v="0"/>
    <s v="Middle Age"/>
    <x v="0"/>
  </r>
  <r>
    <n v="686"/>
    <x v="1"/>
    <n v="12"/>
    <x v="3"/>
    <x v="1"/>
    <x v="1"/>
    <d v="2023-07-13T00:00:00"/>
    <n v="12"/>
    <n v="14254"/>
    <x v="0"/>
    <x v="0"/>
    <x v="3"/>
    <s v="Child"/>
    <x v="3"/>
  </r>
  <r>
    <n v="687"/>
    <x v="1"/>
    <n v="19"/>
    <x v="5"/>
    <x v="1"/>
    <x v="1"/>
    <d v="2023-02-18T00:00:00"/>
    <n v="8"/>
    <n v="30621"/>
    <x v="2"/>
    <x v="0"/>
    <x v="9"/>
    <s v="Adult"/>
    <x v="9"/>
  </r>
  <r>
    <n v="688"/>
    <x v="0"/>
    <n v="44"/>
    <x v="3"/>
    <x v="4"/>
    <x v="1"/>
    <d v="2023-09-26T00:00:00"/>
    <n v="1"/>
    <n v="12905"/>
    <x v="1"/>
    <x v="0"/>
    <x v="8"/>
    <s v="Middle Age"/>
    <x v="8"/>
  </r>
  <r>
    <n v="689"/>
    <x v="0"/>
    <n v="59"/>
    <x v="2"/>
    <x v="1"/>
    <x v="0"/>
    <d v="2023-12-23T00:00:00"/>
    <n v="10"/>
    <n v="48121"/>
    <x v="1"/>
    <x v="0"/>
    <x v="1"/>
    <s v="Middle Age"/>
    <x v="1"/>
  </r>
  <r>
    <n v="690"/>
    <x v="1"/>
    <n v="49"/>
    <x v="5"/>
    <x v="4"/>
    <x v="0"/>
    <d v="2023-06-29T00:00:00"/>
    <n v="7"/>
    <n v="17882"/>
    <x v="1"/>
    <x v="0"/>
    <x v="4"/>
    <s v="Middle Age"/>
    <x v="4"/>
  </r>
  <r>
    <n v="691"/>
    <x v="1"/>
    <n v="61"/>
    <x v="0"/>
    <x v="1"/>
    <x v="1"/>
    <d v="2023-06-22T00:00:00"/>
    <n v="7"/>
    <n v="21041"/>
    <x v="1"/>
    <x v="0"/>
    <x v="4"/>
    <s v="Senior"/>
    <x v="4"/>
  </r>
  <r>
    <n v="692"/>
    <x v="1"/>
    <n v="17"/>
    <x v="5"/>
    <x v="2"/>
    <x v="3"/>
    <d v="2023-01-14T00:00:00"/>
    <n v="13"/>
    <n v="31098"/>
    <x v="2"/>
    <x v="0"/>
    <x v="11"/>
    <s v="Child"/>
    <x v="11"/>
  </r>
  <r>
    <n v="693"/>
    <x v="0"/>
    <n v="74"/>
    <x v="4"/>
    <x v="2"/>
    <x v="0"/>
    <d v="2023-11-25T00:00:00"/>
    <n v="1"/>
    <n v="44431"/>
    <x v="1"/>
    <x v="0"/>
    <x v="0"/>
    <s v="Senior"/>
    <x v="0"/>
  </r>
  <r>
    <n v="694"/>
    <x v="1"/>
    <n v="57"/>
    <x v="1"/>
    <x v="4"/>
    <x v="2"/>
    <d v="2023-01-18T00:00:00"/>
    <n v="9"/>
    <n v="35709"/>
    <x v="1"/>
    <x v="0"/>
    <x v="11"/>
    <s v="Middle Age"/>
    <x v="11"/>
  </r>
  <r>
    <n v="695"/>
    <x v="1"/>
    <n v="55"/>
    <x v="0"/>
    <x v="2"/>
    <x v="0"/>
    <d v="2023-07-27T00:00:00"/>
    <n v="8"/>
    <n v="36675"/>
    <x v="1"/>
    <x v="0"/>
    <x v="3"/>
    <s v="Middle Age"/>
    <x v="3"/>
  </r>
  <r>
    <n v="696"/>
    <x v="1"/>
    <n v="47"/>
    <x v="5"/>
    <x v="4"/>
    <x v="2"/>
    <d v="2023-12-18T00:00:00"/>
    <n v="4"/>
    <n v="6837"/>
    <x v="1"/>
    <x v="0"/>
    <x v="1"/>
    <s v="Middle Age"/>
    <x v="1"/>
  </r>
  <r>
    <n v="697"/>
    <x v="0"/>
    <n v="12"/>
    <x v="0"/>
    <x v="2"/>
    <x v="1"/>
    <d v="2023-09-01T00:00:00"/>
    <n v="10"/>
    <n v="48448"/>
    <x v="1"/>
    <x v="0"/>
    <x v="8"/>
    <s v="Child"/>
    <x v="8"/>
  </r>
  <r>
    <n v="698"/>
    <x v="1"/>
    <n v="62"/>
    <x v="0"/>
    <x v="2"/>
    <x v="0"/>
    <d v="2023-01-11T00:00:00"/>
    <n v="11"/>
    <n v="26489"/>
    <x v="1"/>
    <x v="0"/>
    <x v="11"/>
    <s v="Senior"/>
    <x v="11"/>
  </r>
  <r>
    <n v="699"/>
    <x v="1"/>
    <n v="80"/>
    <x v="0"/>
    <x v="4"/>
    <x v="3"/>
    <d v="2023-01-13T00:00:00"/>
    <n v="5"/>
    <n v="19627"/>
    <x v="1"/>
    <x v="0"/>
    <x v="11"/>
    <s v="Senior"/>
    <x v="11"/>
  </r>
  <r>
    <n v="700"/>
    <x v="0"/>
    <n v="88"/>
    <x v="1"/>
    <x v="3"/>
    <x v="0"/>
    <d v="2023-06-04T00:00:00"/>
    <n v="2"/>
    <n v="7696"/>
    <x v="1"/>
    <x v="0"/>
    <x v="4"/>
    <s v="Senior"/>
    <x v="4"/>
  </r>
  <r>
    <n v="701"/>
    <x v="1"/>
    <n v="83"/>
    <x v="3"/>
    <x v="2"/>
    <x v="0"/>
    <d v="2023-12-25T00:00:00"/>
    <n v="13"/>
    <n v="15543"/>
    <x v="1"/>
    <x v="0"/>
    <x v="1"/>
    <s v="Senior"/>
    <x v="1"/>
  </r>
  <r>
    <n v="702"/>
    <x v="1"/>
    <n v="8"/>
    <x v="0"/>
    <x v="1"/>
    <x v="0"/>
    <d v="2023-10-31T00:00:00"/>
    <n v="9"/>
    <n v="14615"/>
    <x v="1"/>
    <x v="0"/>
    <x v="5"/>
    <s v="Child"/>
    <x v="5"/>
  </r>
  <r>
    <n v="703"/>
    <x v="0"/>
    <n v="21"/>
    <x v="2"/>
    <x v="3"/>
    <x v="1"/>
    <d v="2023-10-31T00:00:00"/>
    <n v="12"/>
    <n v="3466"/>
    <x v="1"/>
    <x v="0"/>
    <x v="5"/>
    <s v="Adult"/>
    <x v="5"/>
  </r>
  <r>
    <n v="704"/>
    <x v="1"/>
    <n v="81"/>
    <x v="4"/>
    <x v="4"/>
    <x v="3"/>
    <d v="2023-12-08T00:00:00"/>
    <n v="12"/>
    <n v="32771"/>
    <x v="1"/>
    <x v="0"/>
    <x v="1"/>
    <s v="Senior"/>
    <x v="1"/>
  </r>
  <r>
    <n v="705"/>
    <x v="0"/>
    <n v="87"/>
    <x v="1"/>
    <x v="3"/>
    <x v="0"/>
    <d v="2023-01-06T00:00:00"/>
    <n v="6"/>
    <n v="20350"/>
    <x v="1"/>
    <x v="0"/>
    <x v="11"/>
    <s v="Senior"/>
    <x v="11"/>
  </r>
  <r>
    <n v="706"/>
    <x v="0"/>
    <n v="80"/>
    <x v="5"/>
    <x v="0"/>
    <x v="3"/>
    <d v="2023-09-24T00:00:00"/>
    <n v="3"/>
    <n v="2375"/>
    <x v="1"/>
    <x v="0"/>
    <x v="8"/>
    <s v="Senior"/>
    <x v="8"/>
  </r>
  <r>
    <n v="707"/>
    <x v="1"/>
    <n v="70"/>
    <x v="1"/>
    <x v="0"/>
    <x v="1"/>
    <d v="2023-10-05T00:00:00"/>
    <n v="12"/>
    <n v="35030"/>
    <x v="1"/>
    <x v="0"/>
    <x v="5"/>
    <s v="Senior"/>
    <x v="5"/>
  </r>
  <r>
    <n v="708"/>
    <x v="1"/>
    <n v="72"/>
    <x v="5"/>
    <x v="2"/>
    <x v="2"/>
    <d v="2023-01-11T00:00:00"/>
    <n v="7"/>
    <n v="22746"/>
    <x v="1"/>
    <x v="0"/>
    <x v="11"/>
    <s v="Senior"/>
    <x v="11"/>
  </r>
  <r>
    <n v="709"/>
    <x v="1"/>
    <n v="25"/>
    <x v="1"/>
    <x v="2"/>
    <x v="0"/>
    <d v="2023-05-22T00:00:00"/>
    <n v="9"/>
    <n v="24886"/>
    <x v="2"/>
    <x v="0"/>
    <x v="6"/>
    <s v="Adult"/>
    <x v="6"/>
  </r>
  <r>
    <n v="710"/>
    <x v="1"/>
    <n v="82"/>
    <x v="5"/>
    <x v="1"/>
    <x v="3"/>
    <d v="2023-02-02T00:00:00"/>
    <n v="3"/>
    <n v="46348"/>
    <x v="0"/>
    <x v="0"/>
    <x v="9"/>
    <s v="Senior"/>
    <x v="9"/>
  </r>
  <r>
    <n v="711"/>
    <x v="0"/>
    <n v="89"/>
    <x v="0"/>
    <x v="3"/>
    <x v="3"/>
    <d v="2023-06-01T00:00:00"/>
    <n v="2"/>
    <n v="44904"/>
    <x v="2"/>
    <x v="0"/>
    <x v="4"/>
    <s v="Senior"/>
    <x v="4"/>
  </r>
  <r>
    <n v="712"/>
    <x v="1"/>
    <n v="12"/>
    <x v="3"/>
    <x v="0"/>
    <x v="1"/>
    <d v="2023-09-17T00:00:00"/>
    <n v="7"/>
    <n v="34651"/>
    <x v="1"/>
    <x v="0"/>
    <x v="8"/>
    <s v="Child"/>
    <x v="8"/>
  </r>
  <r>
    <n v="713"/>
    <x v="0"/>
    <n v="15"/>
    <x v="5"/>
    <x v="2"/>
    <x v="0"/>
    <d v="2023-10-12T00:00:00"/>
    <n v="7"/>
    <n v="9833"/>
    <x v="2"/>
    <x v="0"/>
    <x v="5"/>
    <s v="Child"/>
    <x v="5"/>
  </r>
  <r>
    <n v="714"/>
    <x v="1"/>
    <n v="59"/>
    <x v="5"/>
    <x v="3"/>
    <x v="2"/>
    <d v="2023-08-14T00:00:00"/>
    <n v="4"/>
    <n v="3893"/>
    <x v="1"/>
    <x v="0"/>
    <x v="10"/>
    <s v="Middle Age"/>
    <x v="10"/>
  </r>
  <r>
    <n v="715"/>
    <x v="1"/>
    <n v="26"/>
    <x v="2"/>
    <x v="2"/>
    <x v="3"/>
    <d v="2023-08-16T00:00:00"/>
    <n v="11"/>
    <n v="32573"/>
    <x v="1"/>
    <x v="0"/>
    <x v="10"/>
    <s v="Adult"/>
    <x v="10"/>
  </r>
  <r>
    <n v="716"/>
    <x v="1"/>
    <n v="26"/>
    <x v="5"/>
    <x v="2"/>
    <x v="0"/>
    <d v="2023-06-26T00:00:00"/>
    <n v="9"/>
    <n v="33371"/>
    <x v="1"/>
    <x v="0"/>
    <x v="4"/>
    <s v="Adult"/>
    <x v="4"/>
  </r>
  <r>
    <n v="717"/>
    <x v="0"/>
    <n v="47"/>
    <x v="2"/>
    <x v="0"/>
    <x v="2"/>
    <d v="2023-08-15T00:00:00"/>
    <n v="14"/>
    <n v="42874"/>
    <x v="2"/>
    <x v="0"/>
    <x v="10"/>
    <s v="Middle Age"/>
    <x v="10"/>
  </r>
  <r>
    <n v="718"/>
    <x v="1"/>
    <n v="32"/>
    <x v="4"/>
    <x v="0"/>
    <x v="3"/>
    <d v="2023-09-23T00:00:00"/>
    <n v="8"/>
    <n v="13826"/>
    <x v="1"/>
    <x v="0"/>
    <x v="8"/>
    <s v="Adult"/>
    <x v="8"/>
  </r>
  <r>
    <n v="719"/>
    <x v="1"/>
    <n v="10"/>
    <x v="0"/>
    <x v="2"/>
    <x v="3"/>
    <d v="2023-05-06T00:00:00"/>
    <n v="13"/>
    <n v="36420"/>
    <x v="1"/>
    <x v="0"/>
    <x v="6"/>
    <s v="Child"/>
    <x v="6"/>
  </r>
  <r>
    <n v="720"/>
    <x v="1"/>
    <n v="16"/>
    <x v="2"/>
    <x v="4"/>
    <x v="2"/>
    <d v="2023-10-09T00:00:00"/>
    <n v="13"/>
    <n v="23924"/>
    <x v="2"/>
    <x v="0"/>
    <x v="5"/>
    <s v="Child"/>
    <x v="5"/>
  </r>
  <r>
    <n v="721"/>
    <x v="1"/>
    <n v="71"/>
    <x v="3"/>
    <x v="2"/>
    <x v="2"/>
    <d v="2023-08-19T00:00:00"/>
    <n v="1"/>
    <n v="35367"/>
    <x v="2"/>
    <x v="0"/>
    <x v="10"/>
    <s v="Senior"/>
    <x v="10"/>
  </r>
  <r>
    <n v="722"/>
    <x v="0"/>
    <n v="17"/>
    <x v="0"/>
    <x v="2"/>
    <x v="1"/>
    <d v="2023-03-19T00:00:00"/>
    <n v="1"/>
    <n v="23199"/>
    <x v="1"/>
    <x v="0"/>
    <x v="7"/>
    <s v="Child"/>
    <x v="7"/>
  </r>
  <r>
    <n v="723"/>
    <x v="1"/>
    <n v="23"/>
    <x v="2"/>
    <x v="1"/>
    <x v="0"/>
    <d v="2023-01-27T00:00:00"/>
    <n v="5"/>
    <n v="27868"/>
    <x v="1"/>
    <x v="0"/>
    <x v="11"/>
    <s v="Adult"/>
    <x v="11"/>
  </r>
  <r>
    <n v="724"/>
    <x v="0"/>
    <n v="26"/>
    <x v="0"/>
    <x v="1"/>
    <x v="0"/>
    <d v="2023-11-07T00:00:00"/>
    <n v="6"/>
    <n v="10792"/>
    <x v="1"/>
    <x v="0"/>
    <x v="0"/>
    <s v="Adult"/>
    <x v="0"/>
  </r>
  <r>
    <n v="725"/>
    <x v="0"/>
    <n v="85"/>
    <x v="0"/>
    <x v="1"/>
    <x v="1"/>
    <d v="2023-02-24T00:00:00"/>
    <n v="3"/>
    <n v="22597"/>
    <x v="2"/>
    <x v="0"/>
    <x v="9"/>
    <s v="Senior"/>
    <x v="9"/>
  </r>
  <r>
    <n v="726"/>
    <x v="0"/>
    <n v="86"/>
    <x v="0"/>
    <x v="4"/>
    <x v="3"/>
    <d v="2023-07-25T00:00:00"/>
    <n v="13"/>
    <n v="38405"/>
    <x v="1"/>
    <x v="0"/>
    <x v="3"/>
    <s v="Senior"/>
    <x v="3"/>
  </r>
  <r>
    <n v="727"/>
    <x v="0"/>
    <n v="7"/>
    <x v="4"/>
    <x v="4"/>
    <x v="2"/>
    <d v="2023-07-27T00:00:00"/>
    <n v="9"/>
    <n v="34696"/>
    <x v="1"/>
    <x v="0"/>
    <x v="3"/>
    <s v="Child"/>
    <x v="3"/>
  </r>
  <r>
    <n v="728"/>
    <x v="0"/>
    <n v="14"/>
    <x v="3"/>
    <x v="2"/>
    <x v="2"/>
    <d v="2023-03-05T00:00:00"/>
    <n v="12"/>
    <n v="45123"/>
    <x v="2"/>
    <x v="0"/>
    <x v="7"/>
    <s v="Child"/>
    <x v="7"/>
  </r>
  <r>
    <n v="729"/>
    <x v="0"/>
    <n v="79"/>
    <x v="1"/>
    <x v="1"/>
    <x v="2"/>
    <d v="2023-08-29T00:00:00"/>
    <n v="10"/>
    <n v="17989"/>
    <x v="1"/>
    <x v="0"/>
    <x v="10"/>
    <s v="Senior"/>
    <x v="10"/>
  </r>
  <r>
    <n v="730"/>
    <x v="1"/>
    <n v="7"/>
    <x v="1"/>
    <x v="4"/>
    <x v="3"/>
    <d v="2023-02-10T00:00:00"/>
    <n v="14"/>
    <n v="30931"/>
    <x v="1"/>
    <x v="0"/>
    <x v="9"/>
    <s v="Child"/>
    <x v="9"/>
  </r>
  <r>
    <n v="731"/>
    <x v="0"/>
    <n v="9"/>
    <x v="2"/>
    <x v="0"/>
    <x v="2"/>
    <d v="2023-08-09T00:00:00"/>
    <n v="6"/>
    <n v="11290"/>
    <x v="1"/>
    <x v="0"/>
    <x v="10"/>
    <s v="Child"/>
    <x v="10"/>
  </r>
  <r>
    <n v="732"/>
    <x v="0"/>
    <n v="48"/>
    <x v="0"/>
    <x v="2"/>
    <x v="2"/>
    <d v="2023-07-09T00:00:00"/>
    <n v="4"/>
    <n v="40367"/>
    <x v="1"/>
    <x v="0"/>
    <x v="3"/>
    <s v="Middle Age"/>
    <x v="3"/>
  </r>
  <r>
    <n v="733"/>
    <x v="0"/>
    <n v="72"/>
    <x v="2"/>
    <x v="3"/>
    <x v="1"/>
    <d v="2023-12-09T00:00:00"/>
    <n v="12"/>
    <n v="16342"/>
    <x v="1"/>
    <x v="0"/>
    <x v="1"/>
    <s v="Senior"/>
    <x v="1"/>
  </r>
  <r>
    <n v="734"/>
    <x v="1"/>
    <n v="59"/>
    <x v="4"/>
    <x v="2"/>
    <x v="3"/>
    <d v="2023-06-21T00:00:00"/>
    <n v="7"/>
    <n v="26941"/>
    <x v="1"/>
    <x v="0"/>
    <x v="4"/>
    <s v="Middle Age"/>
    <x v="4"/>
  </r>
  <r>
    <n v="735"/>
    <x v="1"/>
    <n v="87"/>
    <x v="4"/>
    <x v="3"/>
    <x v="0"/>
    <d v="2023-08-02T00:00:00"/>
    <n v="8"/>
    <n v="15945"/>
    <x v="1"/>
    <x v="0"/>
    <x v="10"/>
    <s v="Senior"/>
    <x v="10"/>
  </r>
  <r>
    <n v="736"/>
    <x v="0"/>
    <n v="82"/>
    <x v="5"/>
    <x v="1"/>
    <x v="1"/>
    <d v="2023-01-26T00:00:00"/>
    <n v="9"/>
    <n v="12762"/>
    <x v="1"/>
    <x v="0"/>
    <x v="11"/>
    <s v="Senior"/>
    <x v="11"/>
  </r>
  <r>
    <n v="737"/>
    <x v="1"/>
    <n v="39"/>
    <x v="4"/>
    <x v="3"/>
    <x v="1"/>
    <d v="2023-08-20T00:00:00"/>
    <n v="13"/>
    <n v="32133"/>
    <x v="1"/>
    <x v="0"/>
    <x v="10"/>
    <s v="Adult"/>
    <x v="10"/>
  </r>
  <r>
    <n v="738"/>
    <x v="0"/>
    <n v="18"/>
    <x v="5"/>
    <x v="1"/>
    <x v="0"/>
    <d v="2023-10-22T00:00:00"/>
    <n v="11"/>
    <n v="49080"/>
    <x v="0"/>
    <x v="0"/>
    <x v="5"/>
    <s v="Adult"/>
    <x v="5"/>
  </r>
  <r>
    <n v="739"/>
    <x v="0"/>
    <n v="59"/>
    <x v="3"/>
    <x v="0"/>
    <x v="1"/>
    <d v="2023-07-07T00:00:00"/>
    <n v="6"/>
    <n v="42150"/>
    <x v="0"/>
    <x v="0"/>
    <x v="3"/>
    <s v="Middle Age"/>
    <x v="3"/>
  </r>
  <r>
    <n v="740"/>
    <x v="1"/>
    <n v="17"/>
    <x v="2"/>
    <x v="3"/>
    <x v="3"/>
    <d v="2023-02-20T00:00:00"/>
    <n v="6"/>
    <n v="29052"/>
    <x v="1"/>
    <x v="0"/>
    <x v="9"/>
    <s v="Child"/>
    <x v="9"/>
  </r>
  <r>
    <n v="741"/>
    <x v="0"/>
    <n v="14"/>
    <x v="3"/>
    <x v="2"/>
    <x v="2"/>
    <d v="2023-08-27T00:00:00"/>
    <n v="8"/>
    <n v="43750"/>
    <x v="1"/>
    <x v="0"/>
    <x v="10"/>
    <s v="Child"/>
    <x v="10"/>
  </r>
  <r>
    <n v="742"/>
    <x v="1"/>
    <n v="31"/>
    <x v="4"/>
    <x v="1"/>
    <x v="3"/>
    <d v="2023-08-03T00:00:00"/>
    <n v="12"/>
    <n v="21953"/>
    <x v="1"/>
    <x v="0"/>
    <x v="10"/>
    <s v="Adult"/>
    <x v="10"/>
  </r>
  <r>
    <n v="743"/>
    <x v="1"/>
    <n v="24"/>
    <x v="3"/>
    <x v="2"/>
    <x v="0"/>
    <d v="2023-11-28T00:00:00"/>
    <n v="5"/>
    <n v="42475"/>
    <x v="2"/>
    <x v="0"/>
    <x v="0"/>
    <s v="Adult"/>
    <x v="0"/>
  </r>
  <r>
    <n v="744"/>
    <x v="0"/>
    <n v="60"/>
    <x v="3"/>
    <x v="4"/>
    <x v="0"/>
    <d v="2023-10-10T00:00:00"/>
    <n v="14"/>
    <n v="19130"/>
    <x v="1"/>
    <x v="0"/>
    <x v="5"/>
    <s v="Senior"/>
    <x v="5"/>
  </r>
  <r>
    <n v="745"/>
    <x v="0"/>
    <n v="45"/>
    <x v="3"/>
    <x v="1"/>
    <x v="1"/>
    <d v="2023-08-09T00:00:00"/>
    <n v="3"/>
    <n v="33086"/>
    <x v="0"/>
    <x v="0"/>
    <x v="10"/>
    <s v="Middle Age"/>
    <x v="10"/>
  </r>
  <r>
    <n v="746"/>
    <x v="1"/>
    <n v="3"/>
    <x v="4"/>
    <x v="3"/>
    <x v="3"/>
    <d v="2023-12-21T00:00:00"/>
    <n v="12"/>
    <n v="6633"/>
    <x v="1"/>
    <x v="0"/>
    <x v="1"/>
    <s v="Child"/>
    <x v="1"/>
  </r>
  <r>
    <n v="747"/>
    <x v="0"/>
    <n v="37"/>
    <x v="0"/>
    <x v="1"/>
    <x v="3"/>
    <d v="2023-01-14T00:00:00"/>
    <n v="3"/>
    <n v="19304"/>
    <x v="0"/>
    <x v="0"/>
    <x v="11"/>
    <s v="Adult"/>
    <x v="11"/>
  </r>
  <r>
    <n v="748"/>
    <x v="0"/>
    <n v="43"/>
    <x v="3"/>
    <x v="2"/>
    <x v="0"/>
    <d v="2023-08-11T00:00:00"/>
    <n v="13"/>
    <n v="44037"/>
    <x v="2"/>
    <x v="0"/>
    <x v="10"/>
    <s v="Middle Age"/>
    <x v="10"/>
  </r>
  <r>
    <n v="749"/>
    <x v="0"/>
    <n v="40"/>
    <x v="5"/>
    <x v="0"/>
    <x v="3"/>
    <d v="2023-08-16T00:00:00"/>
    <n v="6"/>
    <n v="34284"/>
    <x v="2"/>
    <x v="0"/>
    <x v="10"/>
    <s v="Middle Age"/>
    <x v="10"/>
  </r>
  <r>
    <n v="750"/>
    <x v="1"/>
    <n v="55"/>
    <x v="4"/>
    <x v="1"/>
    <x v="0"/>
    <d v="2023-02-15T00:00:00"/>
    <n v="2"/>
    <n v="48546"/>
    <x v="1"/>
    <x v="0"/>
    <x v="9"/>
    <s v="Middle Age"/>
    <x v="9"/>
  </r>
  <r>
    <n v="751"/>
    <x v="1"/>
    <n v="87"/>
    <x v="3"/>
    <x v="3"/>
    <x v="3"/>
    <d v="2023-05-23T00:00:00"/>
    <n v="6"/>
    <n v="9008"/>
    <x v="1"/>
    <x v="0"/>
    <x v="6"/>
    <s v="Senior"/>
    <x v="6"/>
  </r>
  <r>
    <n v="752"/>
    <x v="0"/>
    <n v="39"/>
    <x v="0"/>
    <x v="4"/>
    <x v="3"/>
    <d v="2023-02-01T00:00:00"/>
    <n v="13"/>
    <n v="29405"/>
    <x v="1"/>
    <x v="0"/>
    <x v="9"/>
    <s v="Adult"/>
    <x v="9"/>
  </r>
  <r>
    <n v="753"/>
    <x v="1"/>
    <n v="15"/>
    <x v="4"/>
    <x v="0"/>
    <x v="3"/>
    <d v="2023-01-20T00:00:00"/>
    <n v="6"/>
    <n v="38386"/>
    <x v="1"/>
    <x v="0"/>
    <x v="11"/>
    <s v="Child"/>
    <x v="11"/>
  </r>
  <r>
    <n v="754"/>
    <x v="1"/>
    <n v="4"/>
    <x v="1"/>
    <x v="4"/>
    <x v="0"/>
    <d v="2023-08-08T00:00:00"/>
    <n v="8"/>
    <n v="27373"/>
    <x v="1"/>
    <x v="0"/>
    <x v="10"/>
    <s v="Child"/>
    <x v="10"/>
  </r>
  <r>
    <n v="755"/>
    <x v="1"/>
    <n v="86"/>
    <x v="0"/>
    <x v="1"/>
    <x v="1"/>
    <d v="2023-10-10T00:00:00"/>
    <n v="7"/>
    <n v="22827"/>
    <x v="1"/>
    <x v="0"/>
    <x v="5"/>
    <s v="Senior"/>
    <x v="5"/>
  </r>
  <r>
    <n v="756"/>
    <x v="1"/>
    <n v="25"/>
    <x v="5"/>
    <x v="2"/>
    <x v="3"/>
    <d v="2023-09-18T00:00:00"/>
    <n v="8"/>
    <n v="35040"/>
    <x v="1"/>
    <x v="0"/>
    <x v="8"/>
    <s v="Adult"/>
    <x v="8"/>
  </r>
  <r>
    <n v="757"/>
    <x v="1"/>
    <n v="13"/>
    <x v="3"/>
    <x v="2"/>
    <x v="0"/>
    <d v="2023-09-28T00:00:00"/>
    <n v="14"/>
    <n v="15007"/>
    <x v="1"/>
    <x v="0"/>
    <x v="8"/>
    <s v="Child"/>
    <x v="8"/>
  </r>
  <r>
    <n v="758"/>
    <x v="0"/>
    <n v="82"/>
    <x v="1"/>
    <x v="3"/>
    <x v="0"/>
    <d v="2023-10-14T00:00:00"/>
    <n v="9"/>
    <n v="20157"/>
    <x v="1"/>
    <x v="0"/>
    <x v="5"/>
    <s v="Senior"/>
    <x v="5"/>
  </r>
  <r>
    <n v="759"/>
    <x v="0"/>
    <n v="33"/>
    <x v="1"/>
    <x v="2"/>
    <x v="3"/>
    <d v="2023-07-29T00:00:00"/>
    <n v="6"/>
    <n v="34157"/>
    <x v="1"/>
    <x v="0"/>
    <x v="3"/>
    <s v="Adult"/>
    <x v="3"/>
  </r>
  <r>
    <n v="760"/>
    <x v="0"/>
    <n v="16"/>
    <x v="4"/>
    <x v="0"/>
    <x v="3"/>
    <d v="2023-08-09T00:00:00"/>
    <n v="14"/>
    <n v="37315"/>
    <x v="0"/>
    <x v="0"/>
    <x v="10"/>
    <s v="Child"/>
    <x v="10"/>
  </r>
  <r>
    <n v="761"/>
    <x v="1"/>
    <n v="42"/>
    <x v="1"/>
    <x v="2"/>
    <x v="1"/>
    <d v="2023-01-26T00:00:00"/>
    <n v="3"/>
    <n v="37932"/>
    <x v="1"/>
    <x v="0"/>
    <x v="11"/>
    <s v="Middle Age"/>
    <x v="11"/>
  </r>
  <r>
    <n v="762"/>
    <x v="1"/>
    <n v="66"/>
    <x v="5"/>
    <x v="3"/>
    <x v="0"/>
    <d v="2023-07-31T00:00:00"/>
    <n v="10"/>
    <n v="23164"/>
    <x v="1"/>
    <x v="0"/>
    <x v="3"/>
    <s v="Senior"/>
    <x v="3"/>
  </r>
  <r>
    <n v="763"/>
    <x v="0"/>
    <n v="55"/>
    <x v="5"/>
    <x v="1"/>
    <x v="0"/>
    <d v="2023-01-16T00:00:00"/>
    <n v="3"/>
    <n v="16414"/>
    <x v="1"/>
    <x v="0"/>
    <x v="11"/>
    <s v="Middle Age"/>
    <x v="11"/>
  </r>
  <r>
    <n v="764"/>
    <x v="1"/>
    <n v="42"/>
    <x v="2"/>
    <x v="1"/>
    <x v="2"/>
    <d v="2023-11-09T00:00:00"/>
    <n v="11"/>
    <n v="16327"/>
    <x v="2"/>
    <x v="0"/>
    <x v="0"/>
    <s v="Middle Age"/>
    <x v="0"/>
  </r>
  <r>
    <n v="765"/>
    <x v="0"/>
    <n v="34"/>
    <x v="5"/>
    <x v="2"/>
    <x v="0"/>
    <d v="2023-10-20T00:00:00"/>
    <n v="12"/>
    <n v="2946"/>
    <x v="1"/>
    <x v="0"/>
    <x v="5"/>
    <s v="Adult"/>
    <x v="5"/>
  </r>
  <r>
    <n v="766"/>
    <x v="0"/>
    <n v="30"/>
    <x v="0"/>
    <x v="4"/>
    <x v="1"/>
    <d v="2023-01-27T00:00:00"/>
    <n v="1"/>
    <n v="16693"/>
    <x v="1"/>
    <x v="0"/>
    <x v="11"/>
    <s v="Adult"/>
    <x v="11"/>
  </r>
  <r>
    <n v="767"/>
    <x v="0"/>
    <n v="13"/>
    <x v="1"/>
    <x v="1"/>
    <x v="2"/>
    <d v="2023-11-10T00:00:00"/>
    <n v="11"/>
    <n v="29241"/>
    <x v="1"/>
    <x v="0"/>
    <x v="0"/>
    <s v="Child"/>
    <x v="0"/>
  </r>
  <r>
    <n v="768"/>
    <x v="1"/>
    <n v="13"/>
    <x v="5"/>
    <x v="2"/>
    <x v="2"/>
    <d v="2023-09-07T00:00:00"/>
    <n v="13"/>
    <n v="32254"/>
    <x v="1"/>
    <x v="0"/>
    <x v="8"/>
    <s v="Child"/>
    <x v="8"/>
  </r>
  <r>
    <n v="769"/>
    <x v="1"/>
    <n v="18"/>
    <x v="4"/>
    <x v="3"/>
    <x v="2"/>
    <d v="2023-12-28T00:00:00"/>
    <n v="5"/>
    <n v="17540"/>
    <x v="1"/>
    <x v="0"/>
    <x v="1"/>
    <s v="Adult"/>
    <x v="1"/>
  </r>
  <r>
    <n v="770"/>
    <x v="0"/>
    <n v="32"/>
    <x v="2"/>
    <x v="2"/>
    <x v="3"/>
    <d v="2023-11-25T00:00:00"/>
    <n v="14"/>
    <n v="8719"/>
    <x v="0"/>
    <x v="0"/>
    <x v="0"/>
    <s v="Adult"/>
    <x v="0"/>
  </r>
  <r>
    <n v="771"/>
    <x v="0"/>
    <n v="39"/>
    <x v="1"/>
    <x v="1"/>
    <x v="3"/>
    <d v="2023-11-21T00:00:00"/>
    <n v="4"/>
    <n v="43203"/>
    <x v="0"/>
    <x v="0"/>
    <x v="0"/>
    <s v="Adult"/>
    <x v="0"/>
  </r>
  <r>
    <n v="772"/>
    <x v="0"/>
    <n v="46"/>
    <x v="2"/>
    <x v="3"/>
    <x v="0"/>
    <d v="2023-08-23T00:00:00"/>
    <n v="9"/>
    <n v="27081"/>
    <x v="1"/>
    <x v="0"/>
    <x v="10"/>
    <s v="Middle Age"/>
    <x v="10"/>
  </r>
  <r>
    <n v="773"/>
    <x v="0"/>
    <n v="29"/>
    <x v="1"/>
    <x v="2"/>
    <x v="2"/>
    <d v="2023-03-24T00:00:00"/>
    <n v="9"/>
    <n v="13350"/>
    <x v="1"/>
    <x v="0"/>
    <x v="7"/>
    <s v="Adult"/>
    <x v="7"/>
  </r>
  <r>
    <n v="774"/>
    <x v="1"/>
    <n v="62"/>
    <x v="4"/>
    <x v="0"/>
    <x v="1"/>
    <d v="2023-02-06T00:00:00"/>
    <n v="14"/>
    <n v="38358"/>
    <x v="1"/>
    <x v="0"/>
    <x v="9"/>
    <s v="Senior"/>
    <x v="9"/>
  </r>
  <r>
    <n v="775"/>
    <x v="1"/>
    <n v="62"/>
    <x v="2"/>
    <x v="3"/>
    <x v="3"/>
    <d v="2023-10-23T00:00:00"/>
    <n v="5"/>
    <n v="34021"/>
    <x v="1"/>
    <x v="0"/>
    <x v="5"/>
    <s v="Senior"/>
    <x v="5"/>
  </r>
  <r>
    <n v="776"/>
    <x v="0"/>
    <n v="57"/>
    <x v="3"/>
    <x v="0"/>
    <x v="1"/>
    <d v="2023-11-17T00:00:00"/>
    <n v="10"/>
    <n v="44832"/>
    <x v="1"/>
    <x v="0"/>
    <x v="0"/>
    <s v="Middle Age"/>
    <x v="0"/>
  </r>
  <r>
    <n v="777"/>
    <x v="0"/>
    <n v="16"/>
    <x v="0"/>
    <x v="4"/>
    <x v="1"/>
    <d v="2023-03-01T00:00:00"/>
    <n v="4"/>
    <n v="30369"/>
    <x v="1"/>
    <x v="0"/>
    <x v="7"/>
    <s v="Child"/>
    <x v="7"/>
  </r>
  <r>
    <n v="778"/>
    <x v="1"/>
    <n v="56"/>
    <x v="0"/>
    <x v="3"/>
    <x v="3"/>
    <d v="2023-03-20T00:00:00"/>
    <n v="7"/>
    <n v="33728"/>
    <x v="0"/>
    <x v="0"/>
    <x v="7"/>
    <s v="Middle Age"/>
    <x v="7"/>
  </r>
  <r>
    <n v="779"/>
    <x v="1"/>
    <n v="10"/>
    <x v="1"/>
    <x v="0"/>
    <x v="3"/>
    <d v="2023-06-10T00:00:00"/>
    <n v="6"/>
    <n v="19576"/>
    <x v="0"/>
    <x v="0"/>
    <x v="4"/>
    <s v="Child"/>
    <x v="4"/>
  </r>
  <r>
    <n v="780"/>
    <x v="0"/>
    <n v="30"/>
    <x v="3"/>
    <x v="1"/>
    <x v="3"/>
    <d v="2023-01-22T00:00:00"/>
    <n v="4"/>
    <n v="31001"/>
    <x v="1"/>
    <x v="0"/>
    <x v="11"/>
    <s v="Adult"/>
    <x v="11"/>
  </r>
  <r>
    <n v="781"/>
    <x v="0"/>
    <n v="25"/>
    <x v="2"/>
    <x v="1"/>
    <x v="3"/>
    <d v="2023-03-23T00:00:00"/>
    <n v="13"/>
    <n v="19848"/>
    <x v="1"/>
    <x v="0"/>
    <x v="7"/>
    <s v="Adult"/>
    <x v="7"/>
  </r>
  <r>
    <n v="782"/>
    <x v="0"/>
    <n v="84"/>
    <x v="3"/>
    <x v="4"/>
    <x v="2"/>
    <d v="2023-03-07T00:00:00"/>
    <n v="13"/>
    <n v="2390"/>
    <x v="1"/>
    <x v="0"/>
    <x v="7"/>
    <s v="Senior"/>
    <x v="7"/>
  </r>
  <r>
    <n v="783"/>
    <x v="1"/>
    <n v="5"/>
    <x v="3"/>
    <x v="3"/>
    <x v="2"/>
    <d v="2023-04-28T00:00:00"/>
    <n v="10"/>
    <n v="23999"/>
    <x v="1"/>
    <x v="0"/>
    <x v="2"/>
    <s v="Child"/>
    <x v="2"/>
  </r>
  <r>
    <n v="784"/>
    <x v="1"/>
    <n v="65"/>
    <x v="2"/>
    <x v="3"/>
    <x v="2"/>
    <d v="2023-09-22T00:00:00"/>
    <n v="2"/>
    <n v="47436"/>
    <x v="1"/>
    <x v="0"/>
    <x v="8"/>
    <s v="Senior"/>
    <x v="8"/>
  </r>
  <r>
    <n v="785"/>
    <x v="1"/>
    <n v="49"/>
    <x v="4"/>
    <x v="3"/>
    <x v="2"/>
    <d v="2023-05-18T00:00:00"/>
    <n v="1"/>
    <n v="13569"/>
    <x v="1"/>
    <x v="0"/>
    <x v="6"/>
    <s v="Middle Age"/>
    <x v="6"/>
  </r>
  <r>
    <n v="786"/>
    <x v="0"/>
    <n v="3"/>
    <x v="3"/>
    <x v="4"/>
    <x v="0"/>
    <d v="2023-07-27T00:00:00"/>
    <n v="4"/>
    <n v="15029"/>
    <x v="2"/>
    <x v="0"/>
    <x v="3"/>
    <s v="Child"/>
    <x v="3"/>
  </r>
  <r>
    <n v="787"/>
    <x v="0"/>
    <n v="45"/>
    <x v="3"/>
    <x v="3"/>
    <x v="2"/>
    <d v="2023-03-31T00:00:00"/>
    <n v="4"/>
    <n v="24490"/>
    <x v="2"/>
    <x v="0"/>
    <x v="7"/>
    <s v="Middle Age"/>
    <x v="7"/>
  </r>
  <r>
    <n v="788"/>
    <x v="1"/>
    <n v="14"/>
    <x v="4"/>
    <x v="1"/>
    <x v="3"/>
    <d v="2023-03-06T00:00:00"/>
    <n v="13"/>
    <n v="47875"/>
    <x v="1"/>
    <x v="0"/>
    <x v="7"/>
    <s v="Child"/>
    <x v="7"/>
  </r>
  <r>
    <n v="789"/>
    <x v="1"/>
    <n v="30"/>
    <x v="3"/>
    <x v="0"/>
    <x v="1"/>
    <d v="2023-12-24T00:00:00"/>
    <n v="1"/>
    <n v="37328"/>
    <x v="1"/>
    <x v="0"/>
    <x v="1"/>
    <s v="Adult"/>
    <x v="1"/>
  </r>
  <r>
    <n v="790"/>
    <x v="0"/>
    <n v="68"/>
    <x v="3"/>
    <x v="1"/>
    <x v="2"/>
    <d v="2023-07-11T00:00:00"/>
    <n v="6"/>
    <n v="7867"/>
    <x v="1"/>
    <x v="0"/>
    <x v="3"/>
    <s v="Senior"/>
    <x v="3"/>
  </r>
  <r>
    <n v="791"/>
    <x v="1"/>
    <n v="18"/>
    <x v="3"/>
    <x v="1"/>
    <x v="0"/>
    <d v="2023-08-29T00:00:00"/>
    <n v="4"/>
    <n v="17284"/>
    <x v="1"/>
    <x v="0"/>
    <x v="10"/>
    <s v="Adult"/>
    <x v="10"/>
  </r>
  <r>
    <n v="792"/>
    <x v="1"/>
    <n v="62"/>
    <x v="0"/>
    <x v="0"/>
    <x v="3"/>
    <d v="2023-07-27T00:00:00"/>
    <n v="1"/>
    <n v="35979"/>
    <x v="1"/>
    <x v="0"/>
    <x v="3"/>
    <s v="Senior"/>
    <x v="3"/>
  </r>
  <r>
    <n v="793"/>
    <x v="0"/>
    <n v="37"/>
    <x v="5"/>
    <x v="1"/>
    <x v="1"/>
    <d v="2023-07-09T00:00:00"/>
    <n v="1"/>
    <n v="11121"/>
    <x v="1"/>
    <x v="0"/>
    <x v="3"/>
    <s v="Adult"/>
    <x v="3"/>
  </r>
  <r>
    <n v="794"/>
    <x v="1"/>
    <n v="25"/>
    <x v="4"/>
    <x v="4"/>
    <x v="1"/>
    <d v="2023-11-09T00:00:00"/>
    <n v="13"/>
    <n v="3539"/>
    <x v="1"/>
    <x v="0"/>
    <x v="0"/>
    <s v="Adult"/>
    <x v="0"/>
  </r>
  <r>
    <n v="795"/>
    <x v="0"/>
    <n v="48"/>
    <x v="3"/>
    <x v="0"/>
    <x v="2"/>
    <d v="2023-08-02T00:00:00"/>
    <n v="1"/>
    <n v="27488"/>
    <x v="1"/>
    <x v="0"/>
    <x v="10"/>
    <s v="Middle Age"/>
    <x v="10"/>
  </r>
  <r>
    <n v="796"/>
    <x v="0"/>
    <n v="65"/>
    <x v="0"/>
    <x v="1"/>
    <x v="1"/>
    <d v="2023-06-08T00:00:00"/>
    <n v="8"/>
    <n v="19027"/>
    <x v="0"/>
    <x v="0"/>
    <x v="4"/>
    <s v="Senior"/>
    <x v="4"/>
  </r>
  <r>
    <n v="797"/>
    <x v="0"/>
    <n v="53"/>
    <x v="4"/>
    <x v="2"/>
    <x v="2"/>
    <d v="2023-07-26T00:00:00"/>
    <n v="10"/>
    <n v="10693"/>
    <x v="1"/>
    <x v="0"/>
    <x v="3"/>
    <s v="Middle Age"/>
    <x v="3"/>
  </r>
  <r>
    <n v="798"/>
    <x v="0"/>
    <n v="79"/>
    <x v="1"/>
    <x v="1"/>
    <x v="2"/>
    <d v="2023-09-01T00:00:00"/>
    <n v="8"/>
    <n v="10921"/>
    <x v="1"/>
    <x v="0"/>
    <x v="8"/>
    <s v="Senior"/>
    <x v="8"/>
  </r>
  <r>
    <n v="799"/>
    <x v="0"/>
    <n v="73"/>
    <x v="1"/>
    <x v="4"/>
    <x v="3"/>
    <d v="2023-07-27T00:00:00"/>
    <n v="2"/>
    <n v="12310"/>
    <x v="1"/>
    <x v="0"/>
    <x v="3"/>
    <s v="Senior"/>
    <x v="3"/>
  </r>
  <r>
    <n v="800"/>
    <x v="0"/>
    <n v="15"/>
    <x v="3"/>
    <x v="3"/>
    <x v="3"/>
    <d v="2023-10-24T00:00:00"/>
    <n v="11"/>
    <n v="47512"/>
    <x v="1"/>
    <x v="0"/>
    <x v="5"/>
    <s v="Child"/>
    <x v="5"/>
  </r>
  <r>
    <n v="801"/>
    <x v="0"/>
    <n v="49"/>
    <x v="0"/>
    <x v="1"/>
    <x v="0"/>
    <d v="2023-06-17T00:00:00"/>
    <n v="13"/>
    <n v="32908"/>
    <x v="1"/>
    <x v="0"/>
    <x v="4"/>
    <s v="Middle Age"/>
    <x v="4"/>
  </r>
  <r>
    <n v="802"/>
    <x v="1"/>
    <n v="88"/>
    <x v="0"/>
    <x v="3"/>
    <x v="3"/>
    <d v="2023-02-10T00:00:00"/>
    <n v="7"/>
    <n v="6386"/>
    <x v="0"/>
    <x v="0"/>
    <x v="9"/>
    <s v="Senior"/>
    <x v="9"/>
  </r>
  <r>
    <n v="803"/>
    <x v="0"/>
    <n v="68"/>
    <x v="4"/>
    <x v="2"/>
    <x v="3"/>
    <d v="2023-03-19T00:00:00"/>
    <n v="14"/>
    <n v="34263"/>
    <x v="2"/>
    <x v="0"/>
    <x v="7"/>
    <s v="Senior"/>
    <x v="7"/>
  </r>
  <r>
    <n v="804"/>
    <x v="0"/>
    <n v="12"/>
    <x v="4"/>
    <x v="1"/>
    <x v="2"/>
    <d v="2023-06-19T00:00:00"/>
    <n v="8"/>
    <n v="30412"/>
    <x v="1"/>
    <x v="0"/>
    <x v="4"/>
    <s v="Child"/>
    <x v="4"/>
  </r>
  <r>
    <n v="805"/>
    <x v="1"/>
    <n v="59"/>
    <x v="0"/>
    <x v="0"/>
    <x v="3"/>
    <d v="2023-05-18T00:00:00"/>
    <n v="8"/>
    <n v="19303"/>
    <x v="1"/>
    <x v="0"/>
    <x v="6"/>
    <s v="Middle Age"/>
    <x v="6"/>
  </r>
  <r>
    <n v="806"/>
    <x v="1"/>
    <n v="37"/>
    <x v="4"/>
    <x v="3"/>
    <x v="2"/>
    <d v="2023-08-18T00:00:00"/>
    <n v="11"/>
    <n v="14242"/>
    <x v="1"/>
    <x v="0"/>
    <x v="10"/>
    <s v="Adult"/>
    <x v="10"/>
  </r>
  <r>
    <n v="807"/>
    <x v="1"/>
    <n v="61"/>
    <x v="0"/>
    <x v="2"/>
    <x v="2"/>
    <d v="2023-11-14T00:00:00"/>
    <n v="10"/>
    <n v="49025"/>
    <x v="1"/>
    <x v="0"/>
    <x v="0"/>
    <s v="Senior"/>
    <x v="0"/>
  </r>
  <r>
    <n v="808"/>
    <x v="0"/>
    <n v="43"/>
    <x v="5"/>
    <x v="0"/>
    <x v="3"/>
    <d v="2023-02-03T00:00:00"/>
    <n v="11"/>
    <n v="10947"/>
    <x v="2"/>
    <x v="0"/>
    <x v="9"/>
    <s v="Middle Age"/>
    <x v="9"/>
  </r>
  <r>
    <n v="809"/>
    <x v="1"/>
    <n v="70"/>
    <x v="0"/>
    <x v="0"/>
    <x v="0"/>
    <d v="2023-08-12T00:00:00"/>
    <n v="13"/>
    <n v="48714"/>
    <x v="1"/>
    <x v="0"/>
    <x v="10"/>
    <s v="Senior"/>
    <x v="10"/>
  </r>
  <r>
    <n v="810"/>
    <x v="0"/>
    <n v="39"/>
    <x v="1"/>
    <x v="0"/>
    <x v="0"/>
    <d v="2023-12-05T00:00:00"/>
    <n v="7"/>
    <n v="7930"/>
    <x v="1"/>
    <x v="0"/>
    <x v="1"/>
    <s v="Adult"/>
    <x v="1"/>
  </r>
  <r>
    <n v="811"/>
    <x v="0"/>
    <n v="56"/>
    <x v="4"/>
    <x v="0"/>
    <x v="1"/>
    <d v="2023-12-30T00:00:00"/>
    <n v="5"/>
    <n v="40170"/>
    <x v="1"/>
    <x v="0"/>
    <x v="1"/>
    <s v="Middle Age"/>
    <x v="1"/>
  </r>
  <r>
    <n v="812"/>
    <x v="0"/>
    <n v="63"/>
    <x v="0"/>
    <x v="1"/>
    <x v="1"/>
    <d v="2023-02-17T00:00:00"/>
    <n v="1"/>
    <n v="2507"/>
    <x v="1"/>
    <x v="0"/>
    <x v="9"/>
    <s v="Senior"/>
    <x v="9"/>
  </r>
  <r>
    <n v="813"/>
    <x v="0"/>
    <n v="46"/>
    <x v="0"/>
    <x v="1"/>
    <x v="3"/>
    <d v="2023-04-20T00:00:00"/>
    <n v="12"/>
    <n v="3436"/>
    <x v="0"/>
    <x v="0"/>
    <x v="2"/>
    <s v="Middle Age"/>
    <x v="2"/>
  </r>
  <r>
    <n v="814"/>
    <x v="1"/>
    <n v="88"/>
    <x v="4"/>
    <x v="1"/>
    <x v="0"/>
    <d v="2023-03-17T00:00:00"/>
    <n v="9"/>
    <n v="29151"/>
    <x v="1"/>
    <x v="0"/>
    <x v="7"/>
    <s v="Senior"/>
    <x v="7"/>
  </r>
  <r>
    <n v="815"/>
    <x v="1"/>
    <n v="11"/>
    <x v="5"/>
    <x v="2"/>
    <x v="2"/>
    <d v="2023-04-22T00:00:00"/>
    <n v="13"/>
    <n v="13618"/>
    <x v="2"/>
    <x v="0"/>
    <x v="2"/>
    <s v="Child"/>
    <x v="2"/>
  </r>
  <r>
    <n v="816"/>
    <x v="0"/>
    <n v="62"/>
    <x v="5"/>
    <x v="2"/>
    <x v="1"/>
    <d v="2023-06-27T00:00:00"/>
    <n v="7"/>
    <n v="10750"/>
    <x v="1"/>
    <x v="0"/>
    <x v="4"/>
    <s v="Senior"/>
    <x v="4"/>
  </r>
  <r>
    <n v="817"/>
    <x v="0"/>
    <n v="77"/>
    <x v="4"/>
    <x v="2"/>
    <x v="2"/>
    <d v="2023-02-16T00:00:00"/>
    <n v="2"/>
    <n v="18122"/>
    <x v="2"/>
    <x v="0"/>
    <x v="9"/>
    <s v="Senior"/>
    <x v="9"/>
  </r>
  <r>
    <n v="818"/>
    <x v="0"/>
    <n v="25"/>
    <x v="2"/>
    <x v="4"/>
    <x v="1"/>
    <d v="2023-05-05T00:00:00"/>
    <n v="6"/>
    <n v="9354"/>
    <x v="1"/>
    <x v="0"/>
    <x v="6"/>
    <s v="Adult"/>
    <x v="6"/>
  </r>
  <r>
    <n v="819"/>
    <x v="1"/>
    <n v="71"/>
    <x v="4"/>
    <x v="2"/>
    <x v="3"/>
    <d v="2023-01-28T00:00:00"/>
    <n v="2"/>
    <n v="46062"/>
    <x v="1"/>
    <x v="0"/>
    <x v="11"/>
    <s v="Senior"/>
    <x v="11"/>
  </r>
  <r>
    <n v="820"/>
    <x v="0"/>
    <n v="52"/>
    <x v="4"/>
    <x v="1"/>
    <x v="0"/>
    <d v="2023-03-23T00:00:00"/>
    <n v="1"/>
    <n v="32979"/>
    <x v="2"/>
    <x v="0"/>
    <x v="7"/>
    <s v="Middle Age"/>
    <x v="7"/>
  </r>
  <r>
    <n v="821"/>
    <x v="0"/>
    <n v="4"/>
    <x v="5"/>
    <x v="1"/>
    <x v="1"/>
    <d v="2023-08-19T00:00:00"/>
    <n v="14"/>
    <n v="22900"/>
    <x v="1"/>
    <x v="0"/>
    <x v="10"/>
    <s v="Child"/>
    <x v="10"/>
  </r>
  <r>
    <n v="822"/>
    <x v="1"/>
    <n v="59"/>
    <x v="5"/>
    <x v="4"/>
    <x v="0"/>
    <d v="2023-01-02T00:00:00"/>
    <n v="7"/>
    <n v="15840"/>
    <x v="1"/>
    <x v="0"/>
    <x v="11"/>
    <s v="Middle Age"/>
    <x v="11"/>
  </r>
  <r>
    <n v="823"/>
    <x v="1"/>
    <n v="72"/>
    <x v="4"/>
    <x v="4"/>
    <x v="2"/>
    <d v="2023-12-30T00:00:00"/>
    <n v="13"/>
    <n v="39167"/>
    <x v="1"/>
    <x v="0"/>
    <x v="1"/>
    <s v="Senior"/>
    <x v="1"/>
  </r>
  <r>
    <n v="824"/>
    <x v="0"/>
    <n v="20"/>
    <x v="4"/>
    <x v="2"/>
    <x v="3"/>
    <d v="2023-03-20T00:00:00"/>
    <n v="2"/>
    <n v="7037"/>
    <x v="2"/>
    <x v="0"/>
    <x v="7"/>
    <s v="Adult"/>
    <x v="7"/>
  </r>
  <r>
    <n v="825"/>
    <x v="1"/>
    <n v="63"/>
    <x v="4"/>
    <x v="3"/>
    <x v="0"/>
    <d v="2023-01-04T00:00:00"/>
    <n v="13"/>
    <n v="30633"/>
    <x v="1"/>
    <x v="0"/>
    <x v="11"/>
    <s v="Senior"/>
    <x v="11"/>
  </r>
  <r>
    <n v="826"/>
    <x v="1"/>
    <n v="54"/>
    <x v="5"/>
    <x v="4"/>
    <x v="3"/>
    <d v="2023-04-14T00:00:00"/>
    <n v="14"/>
    <n v="26495"/>
    <x v="0"/>
    <x v="0"/>
    <x v="2"/>
    <s v="Middle Age"/>
    <x v="2"/>
  </r>
  <r>
    <n v="827"/>
    <x v="0"/>
    <n v="74"/>
    <x v="4"/>
    <x v="0"/>
    <x v="0"/>
    <d v="2023-04-23T00:00:00"/>
    <n v="14"/>
    <n v="17848"/>
    <x v="1"/>
    <x v="0"/>
    <x v="2"/>
    <s v="Senior"/>
    <x v="2"/>
  </r>
  <r>
    <n v="828"/>
    <x v="1"/>
    <n v="57"/>
    <x v="4"/>
    <x v="1"/>
    <x v="2"/>
    <d v="2023-01-27T00:00:00"/>
    <n v="2"/>
    <n v="38483"/>
    <x v="1"/>
    <x v="0"/>
    <x v="11"/>
    <s v="Middle Age"/>
    <x v="11"/>
  </r>
  <r>
    <n v="829"/>
    <x v="0"/>
    <n v="41"/>
    <x v="3"/>
    <x v="0"/>
    <x v="2"/>
    <d v="2023-02-12T00:00:00"/>
    <n v="13"/>
    <n v="49645"/>
    <x v="2"/>
    <x v="0"/>
    <x v="9"/>
    <s v="Middle Age"/>
    <x v="9"/>
  </r>
  <r>
    <n v="830"/>
    <x v="1"/>
    <n v="3"/>
    <x v="2"/>
    <x v="1"/>
    <x v="3"/>
    <d v="2023-11-12T00:00:00"/>
    <n v="11"/>
    <n v="9837"/>
    <x v="1"/>
    <x v="0"/>
    <x v="0"/>
    <s v="Child"/>
    <x v="0"/>
  </r>
  <r>
    <n v="831"/>
    <x v="0"/>
    <n v="6"/>
    <x v="1"/>
    <x v="1"/>
    <x v="2"/>
    <d v="2023-01-19T00:00:00"/>
    <n v="5"/>
    <n v="36069"/>
    <x v="2"/>
    <x v="0"/>
    <x v="11"/>
    <s v="Child"/>
    <x v="11"/>
  </r>
  <r>
    <n v="832"/>
    <x v="0"/>
    <n v="5"/>
    <x v="2"/>
    <x v="4"/>
    <x v="1"/>
    <d v="2023-04-09T00:00:00"/>
    <n v="14"/>
    <n v="9370"/>
    <x v="0"/>
    <x v="0"/>
    <x v="2"/>
    <s v="Child"/>
    <x v="2"/>
  </r>
  <r>
    <n v="833"/>
    <x v="0"/>
    <n v="5"/>
    <x v="3"/>
    <x v="4"/>
    <x v="0"/>
    <d v="2023-08-21T00:00:00"/>
    <n v="5"/>
    <n v="8411"/>
    <x v="1"/>
    <x v="0"/>
    <x v="10"/>
    <s v="Child"/>
    <x v="10"/>
  </r>
  <r>
    <n v="834"/>
    <x v="1"/>
    <n v="54"/>
    <x v="1"/>
    <x v="0"/>
    <x v="2"/>
    <d v="2023-02-19T00:00:00"/>
    <n v="7"/>
    <n v="41133"/>
    <x v="1"/>
    <x v="0"/>
    <x v="9"/>
    <s v="Middle Age"/>
    <x v="9"/>
  </r>
  <r>
    <n v="835"/>
    <x v="0"/>
    <n v="47"/>
    <x v="4"/>
    <x v="1"/>
    <x v="1"/>
    <d v="2023-08-24T00:00:00"/>
    <n v="1"/>
    <n v="32499"/>
    <x v="1"/>
    <x v="0"/>
    <x v="10"/>
    <s v="Middle Age"/>
    <x v="10"/>
  </r>
  <r>
    <n v="836"/>
    <x v="1"/>
    <n v="87"/>
    <x v="3"/>
    <x v="0"/>
    <x v="3"/>
    <d v="2023-04-24T00:00:00"/>
    <n v="8"/>
    <n v="32225"/>
    <x v="2"/>
    <x v="0"/>
    <x v="2"/>
    <s v="Senior"/>
    <x v="2"/>
  </r>
  <r>
    <n v="837"/>
    <x v="0"/>
    <n v="49"/>
    <x v="4"/>
    <x v="3"/>
    <x v="1"/>
    <d v="2023-02-03T00:00:00"/>
    <n v="3"/>
    <n v="2692"/>
    <x v="2"/>
    <x v="0"/>
    <x v="9"/>
    <s v="Middle Age"/>
    <x v="9"/>
  </r>
  <r>
    <n v="838"/>
    <x v="0"/>
    <n v="9"/>
    <x v="5"/>
    <x v="0"/>
    <x v="3"/>
    <d v="2023-11-25T00:00:00"/>
    <n v="4"/>
    <n v="30926"/>
    <x v="1"/>
    <x v="0"/>
    <x v="0"/>
    <s v="Child"/>
    <x v="0"/>
  </r>
  <r>
    <n v="839"/>
    <x v="1"/>
    <n v="20"/>
    <x v="0"/>
    <x v="2"/>
    <x v="3"/>
    <d v="2023-10-14T00:00:00"/>
    <n v="9"/>
    <n v="36246"/>
    <x v="1"/>
    <x v="0"/>
    <x v="5"/>
    <s v="Adult"/>
    <x v="5"/>
  </r>
  <r>
    <n v="840"/>
    <x v="0"/>
    <n v="61"/>
    <x v="3"/>
    <x v="0"/>
    <x v="0"/>
    <d v="2023-12-05T00:00:00"/>
    <n v="4"/>
    <n v="41164"/>
    <x v="1"/>
    <x v="0"/>
    <x v="1"/>
    <s v="Senior"/>
    <x v="1"/>
  </r>
  <r>
    <n v="841"/>
    <x v="0"/>
    <n v="35"/>
    <x v="5"/>
    <x v="2"/>
    <x v="0"/>
    <d v="2023-01-22T00:00:00"/>
    <n v="10"/>
    <n v="10448"/>
    <x v="2"/>
    <x v="0"/>
    <x v="11"/>
    <s v="Adult"/>
    <x v="11"/>
  </r>
  <r>
    <n v="842"/>
    <x v="1"/>
    <n v="50"/>
    <x v="3"/>
    <x v="2"/>
    <x v="1"/>
    <d v="2023-02-10T00:00:00"/>
    <n v="12"/>
    <n v="45390"/>
    <x v="1"/>
    <x v="0"/>
    <x v="9"/>
    <s v="Middle Age"/>
    <x v="9"/>
  </r>
  <r>
    <n v="843"/>
    <x v="0"/>
    <n v="82"/>
    <x v="3"/>
    <x v="2"/>
    <x v="0"/>
    <d v="2023-05-07T00:00:00"/>
    <n v="5"/>
    <n v="12073"/>
    <x v="1"/>
    <x v="0"/>
    <x v="6"/>
    <s v="Senior"/>
    <x v="6"/>
  </r>
  <r>
    <n v="844"/>
    <x v="0"/>
    <n v="62"/>
    <x v="5"/>
    <x v="3"/>
    <x v="0"/>
    <d v="2023-03-13T00:00:00"/>
    <n v="7"/>
    <n v="37414"/>
    <x v="1"/>
    <x v="0"/>
    <x v="7"/>
    <s v="Senior"/>
    <x v="7"/>
  </r>
  <r>
    <n v="845"/>
    <x v="0"/>
    <n v="17"/>
    <x v="1"/>
    <x v="0"/>
    <x v="0"/>
    <d v="2023-12-15T00:00:00"/>
    <n v="4"/>
    <n v="7209"/>
    <x v="2"/>
    <x v="0"/>
    <x v="1"/>
    <s v="Child"/>
    <x v="1"/>
  </r>
  <r>
    <n v="846"/>
    <x v="0"/>
    <n v="88"/>
    <x v="2"/>
    <x v="0"/>
    <x v="1"/>
    <d v="2023-01-17T00:00:00"/>
    <n v="14"/>
    <n v="8533"/>
    <x v="1"/>
    <x v="0"/>
    <x v="11"/>
    <s v="Senior"/>
    <x v="11"/>
  </r>
  <r>
    <n v="847"/>
    <x v="1"/>
    <n v="3"/>
    <x v="4"/>
    <x v="3"/>
    <x v="2"/>
    <d v="2023-11-30T00:00:00"/>
    <n v="1"/>
    <n v="23061"/>
    <x v="1"/>
    <x v="0"/>
    <x v="0"/>
    <s v="Child"/>
    <x v="0"/>
  </r>
  <r>
    <n v="848"/>
    <x v="1"/>
    <n v="32"/>
    <x v="3"/>
    <x v="1"/>
    <x v="0"/>
    <d v="2023-03-10T00:00:00"/>
    <n v="9"/>
    <n v="9211"/>
    <x v="1"/>
    <x v="0"/>
    <x v="7"/>
    <s v="Adult"/>
    <x v="7"/>
  </r>
  <r>
    <n v="849"/>
    <x v="0"/>
    <n v="13"/>
    <x v="4"/>
    <x v="4"/>
    <x v="0"/>
    <d v="2023-12-14T00:00:00"/>
    <n v="4"/>
    <n v="11927"/>
    <x v="1"/>
    <x v="0"/>
    <x v="1"/>
    <s v="Child"/>
    <x v="1"/>
  </r>
  <r>
    <n v="850"/>
    <x v="1"/>
    <n v="89"/>
    <x v="0"/>
    <x v="0"/>
    <x v="1"/>
    <d v="2023-05-18T00:00:00"/>
    <n v="9"/>
    <n v="13927"/>
    <x v="2"/>
    <x v="0"/>
    <x v="6"/>
    <s v="Senior"/>
    <x v="6"/>
  </r>
  <r>
    <n v="851"/>
    <x v="0"/>
    <n v="73"/>
    <x v="5"/>
    <x v="4"/>
    <x v="2"/>
    <d v="2023-12-24T00:00:00"/>
    <n v="6"/>
    <n v="26594"/>
    <x v="0"/>
    <x v="0"/>
    <x v="1"/>
    <s v="Senior"/>
    <x v="1"/>
  </r>
  <r>
    <n v="852"/>
    <x v="1"/>
    <n v="68"/>
    <x v="4"/>
    <x v="3"/>
    <x v="0"/>
    <d v="2023-04-05T00:00:00"/>
    <n v="1"/>
    <n v="11316"/>
    <x v="1"/>
    <x v="0"/>
    <x v="2"/>
    <s v="Senior"/>
    <x v="2"/>
  </r>
  <r>
    <n v="853"/>
    <x v="0"/>
    <n v="14"/>
    <x v="5"/>
    <x v="1"/>
    <x v="3"/>
    <d v="2023-03-13T00:00:00"/>
    <n v="12"/>
    <n v="14177"/>
    <x v="1"/>
    <x v="0"/>
    <x v="7"/>
    <s v="Child"/>
    <x v="7"/>
  </r>
  <r>
    <n v="854"/>
    <x v="0"/>
    <n v="11"/>
    <x v="4"/>
    <x v="1"/>
    <x v="1"/>
    <d v="2023-12-30T00:00:00"/>
    <n v="3"/>
    <n v="12846"/>
    <x v="1"/>
    <x v="0"/>
    <x v="1"/>
    <s v="Child"/>
    <x v="1"/>
  </r>
  <r>
    <n v="855"/>
    <x v="0"/>
    <n v="56"/>
    <x v="2"/>
    <x v="1"/>
    <x v="0"/>
    <d v="2023-05-15T00:00:00"/>
    <n v="11"/>
    <n v="9933"/>
    <x v="1"/>
    <x v="0"/>
    <x v="6"/>
    <s v="Middle Age"/>
    <x v="6"/>
  </r>
  <r>
    <n v="856"/>
    <x v="0"/>
    <n v="67"/>
    <x v="2"/>
    <x v="3"/>
    <x v="0"/>
    <d v="2023-10-18T00:00:00"/>
    <n v="2"/>
    <n v="40244"/>
    <x v="2"/>
    <x v="0"/>
    <x v="5"/>
    <s v="Senior"/>
    <x v="5"/>
  </r>
  <r>
    <n v="857"/>
    <x v="0"/>
    <n v="29"/>
    <x v="2"/>
    <x v="2"/>
    <x v="3"/>
    <d v="2023-05-31T00:00:00"/>
    <n v="9"/>
    <n v="48621"/>
    <x v="1"/>
    <x v="0"/>
    <x v="6"/>
    <s v="Adult"/>
    <x v="6"/>
  </r>
  <r>
    <n v="858"/>
    <x v="0"/>
    <n v="9"/>
    <x v="2"/>
    <x v="2"/>
    <x v="3"/>
    <d v="2023-09-15T00:00:00"/>
    <n v="12"/>
    <n v="42696"/>
    <x v="1"/>
    <x v="0"/>
    <x v="8"/>
    <s v="Child"/>
    <x v="8"/>
  </r>
  <r>
    <n v="859"/>
    <x v="1"/>
    <n v="67"/>
    <x v="2"/>
    <x v="4"/>
    <x v="1"/>
    <d v="2023-11-14T00:00:00"/>
    <n v="1"/>
    <n v="4080"/>
    <x v="1"/>
    <x v="0"/>
    <x v="0"/>
    <s v="Senior"/>
    <x v="0"/>
  </r>
  <r>
    <n v="860"/>
    <x v="0"/>
    <n v="25"/>
    <x v="2"/>
    <x v="2"/>
    <x v="1"/>
    <d v="2023-02-03T00:00:00"/>
    <n v="13"/>
    <n v="8089"/>
    <x v="1"/>
    <x v="0"/>
    <x v="9"/>
    <s v="Adult"/>
    <x v="9"/>
  </r>
  <r>
    <n v="861"/>
    <x v="1"/>
    <n v="76"/>
    <x v="5"/>
    <x v="2"/>
    <x v="3"/>
    <d v="2023-04-26T00:00:00"/>
    <n v="14"/>
    <n v="28123"/>
    <x v="1"/>
    <x v="0"/>
    <x v="2"/>
    <s v="Senior"/>
    <x v="2"/>
  </r>
  <r>
    <n v="862"/>
    <x v="0"/>
    <n v="42"/>
    <x v="3"/>
    <x v="1"/>
    <x v="1"/>
    <d v="2023-04-29T00:00:00"/>
    <n v="9"/>
    <n v="9797"/>
    <x v="1"/>
    <x v="0"/>
    <x v="2"/>
    <s v="Middle Age"/>
    <x v="2"/>
  </r>
  <r>
    <n v="863"/>
    <x v="1"/>
    <n v="9"/>
    <x v="4"/>
    <x v="1"/>
    <x v="3"/>
    <d v="2023-01-11T00:00:00"/>
    <n v="9"/>
    <n v="10346"/>
    <x v="1"/>
    <x v="0"/>
    <x v="11"/>
    <s v="Child"/>
    <x v="11"/>
  </r>
  <r>
    <n v="864"/>
    <x v="1"/>
    <n v="79"/>
    <x v="2"/>
    <x v="4"/>
    <x v="0"/>
    <d v="2023-09-26T00:00:00"/>
    <n v="8"/>
    <n v="21878"/>
    <x v="2"/>
    <x v="0"/>
    <x v="8"/>
    <s v="Senior"/>
    <x v="8"/>
  </r>
  <r>
    <n v="865"/>
    <x v="1"/>
    <n v="40"/>
    <x v="5"/>
    <x v="0"/>
    <x v="3"/>
    <d v="2023-01-14T00:00:00"/>
    <n v="8"/>
    <n v="35672"/>
    <x v="1"/>
    <x v="0"/>
    <x v="11"/>
    <s v="Middle Age"/>
    <x v="11"/>
  </r>
  <r>
    <n v="866"/>
    <x v="0"/>
    <n v="25"/>
    <x v="5"/>
    <x v="4"/>
    <x v="3"/>
    <d v="2023-11-25T00:00:00"/>
    <n v="11"/>
    <n v="19653"/>
    <x v="1"/>
    <x v="0"/>
    <x v="0"/>
    <s v="Adult"/>
    <x v="0"/>
  </r>
  <r>
    <n v="867"/>
    <x v="0"/>
    <n v="5"/>
    <x v="5"/>
    <x v="4"/>
    <x v="2"/>
    <d v="2023-05-12T00:00:00"/>
    <n v="14"/>
    <n v="44742"/>
    <x v="0"/>
    <x v="0"/>
    <x v="6"/>
    <s v="Child"/>
    <x v="6"/>
  </r>
  <r>
    <n v="868"/>
    <x v="1"/>
    <n v="11"/>
    <x v="3"/>
    <x v="3"/>
    <x v="3"/>
    <d v="2023-07-06T00:00:00"/>
    <n v="12"/>
    <n v="28140"/>
    <x v="1"/>
    <x v="0"/>
    <x v="3"/>
    <s v="Child"/>
    <x v="3"/>
  </r>
  <r>
    <n v="869"/>
    <x v="0"/>
    <n v="59"/>
    <x v="4"/>
    <x v="3"/>
    <x v="3"/>
    <d v="2023-03-26T00:00:00"/>
    <n v="1"/>
    <n v="3184"/>
    <x v="2"/>
    <x v="0"/>
    <x v="7"/>
    <s v="Middle Age"/>
    <x v="7"/>
  </r>
  <r>
    <n v="870"/>
    <x v="1"/>
    <n v="88"/>
    <x v="3"/>
    <x v="4"/>
    <x v="2"/>
    <d v="2023-01-27T00:00:00"/>
    <n v="11"/>
    <n v="36493"/>
    <x v="1"/>
    <x v="0"/>
    <x v="11"/>
    <s v="Senior"/>
    <x v="11"/>
  </r>
  <r>
    <n v="871"/>
    <x v="0"/>
    <n v="79"/>
    <x v="1"/>
    <x v="4"/>
    <x v="1"/>
    <d v="2023-07-17T00:00:00"/>
    <n v="8"/>
    <n v="46148"/>
    <x v="1"/>
    <x v="0"/>
    <x v="3"/>
    <s v="Senior"/>
    <x v="3"/>
  </r>
  <r>
    <n v="872"/>
    <x v="1"/>
    <n v="38"/>
    <x v="5"/>
    <x v="4"/>
    <x v="2"/>
    <d v="2023-11-15T00:00:00"/>
    <n v="10"/>
    <n v="26846"/>
    <x v="1"/>
    <x v="0"/>
    <x v="0"/>
    <s v="Adult"/>
    <x v="0"/>
  </r>
  <r>
    <n v="873"/>
    <x v="1"/>
    <n v="72"/>
    <x v="1"/>
    <x v="2"/>
    <x v="0"/>
    <d v="2023-06-01T00:00:00"/>
    <n v="14"/>
    <n v="47825"/>
    <x v="1"/>
    <x v="0"/>
    <x v="4"/>
    <s v="Senior"/>
    <x v="4"/>
  </r>
  <r>
    <n v="874"/>
    <x v="0"/>
    <n v="5"/>
    <x v="0"/>
    <x v="3"/>
    <x v="2"/>
    <d v="2023-04-24T00:00:00"/>
    <n v="3"/>
    <n v="24195"/>
    <x v="1"/>
    <x v="0"/>
    <x v="2"/>
    <s v="Child"/>
    <x v="2"/>
  </r>
  <r>
    <n v="875"/>
    <x v="1"/>
    <n v="48"/>
    <x v="2"/>
    <x v="4"/>
    <x v="0"/>
    <d v="2023-04-21T00:00:00"/>
    <n v="11"/>
    <n v="7606"/>
    <x v="0"/>
    <x v="0"/>
    <x v="2"/>
    <s v="Middle Age"/>
    <x v="2"/>
  </r>
  <r>
    <n v="876"/>
    <x v="0"/>
    <n v="18"/>
    <x v="2"/>
    <x v="1"/>
    <x v="1"/>
    <d v="2023-10-11T00:00:00"/>
    <n v="7"/>
    <n v="5956"/>
    <x v="1"/>
    <x v="0"/>
    <x v="5"/>
    <s v="Adult"/>
    <x v="5"/>
  </r>
  <r>
    <n v="877"/>
    <x v="1"/>
    <n v="70"/>
    <x v="3"/>
    <x v="1"/>
    <x v="2"/>
    <d v="2023-04-22T00:00:00"/>
    <n v="11"/>
    <n v="18555"/>
    <x v="1"/>
    <x v="0"/>
    <x v="2"/>
    <s v="Senior"/>
    <x v="2"/>
  </r>
  <r>
    <n v="878"/>
    <x v="1"/>
    <n v="37"/>
    <x v="4"/>
    <x v="2"/>
    <x v="2"/>
    <d v="2023-12-02T00:00:00"/>
    <n v="1"/>
    <n v="26849"/>
    <x v="1"/>
    <x v="0"/>
    <x v="1"/>
    <s v="Adult"/>
    <x v="1"/>
  </r>
  <r>
    <n v="879"/>
    <x v="0"/>
    <n v="60"/>
    <x v="1"/>
    <x v="2"/>
    <x v="1"/>
    <d v="2023-06-19T00:00:00"/>
    <n v="1"/>
    <n v="20690"/>
    <x v="1"/>
    <x v="0"/>
    <x v="4"/>
    <s v="Senior"/>
    <x v="4"/>
  </r>
  <r>
    <n v="880"/>
    <x v="0"/>
    <n v="48"/>
    <x v="4"/>
    <x v="0"/>
    <x v="0"/>
    <d v="2023-01-02T00:00:00"/>
    <n v="10"/>
    <n v="28347"/>
    <x v="1"/>
    <x v="0"/>
    <x v="11"/>
    <s v="Middle Age"/>
    <x v="11"/>
  </r>
  <r>
    <n v="881"/>
    <x v="0"/>
    <n v="77"/>
    <x v="3"/>
    <x v="0"/>
    <x v="2"/>
    <d v="2023-09-15T00:00:00"/>
    <n v="13"/>
    <n v="35189"/>
    <x v="1"/>
    <x v="0"/>
    <x v="8"/>
    <s v="Senior"/>
    <x v="8"/>
  </r>
  <r>
    <n v="882"/>
    <x v="1"/>
    <n v="28"/>
    <x v="2"/>
    <x v="0"/>
    <x v="0"/>
    <d v="2023-05-25T00:00:00"/>
    <n v="5"/>
    <n v="40308"/>
    <x v="2"/>
    <x v="0"/>
    <x v="6"/>
    <s v="Adult"/>
    <x v="6"/>
  </r>
  <r>
    <n v="883"/>
    <x v="0"/>
    <n v="69"/>
    <x v="4"/>
    <x v="2"/>
    <x v="2"/>
    <d v="2023-02-20T00:00:00"/>
    <n v="5"/>
    <n v="27785"/>
    <x v="0"/>
    <x v="0"/>
    <x v="9"/>
    <s v="Senior"/>
    <x v="9"/>
  </r>
  <r>
    <n v="884"/>
    <x v="1"/>
    <n v="77"/>
    <x v="4"/>
    <x v="2"/>
    <x v="3"/>
    <d v="2023-11-03T00:00:00"/>
    <n v="8"/>
    <n v="34698"/>
    <x v="1"/>
    <x v="0"/>
    <x v="0"/>
    <s v="Senior"/>
    <x v="0"/>
  </r>
  <r>
    <n v="885"/>
    <x v="1"/>
    <n v="81"/>
    <x v="2"/>
    <x v="2"/>
    <x v="2"/>
    <d v="2023-11-22T00:00:00"/>
    <n v="7"/>
    <n v="17966"/>
    <x v="1"/>
    <x v="0"/>
    <x v="0"/>
    <s v="Senior"/>
    <x v="0"/>
  </r>
  <r>
    <n v="886"/>
    <x v="0"/>
    <n v="40"/>
    <x v="1"/>
    <x v="1"/>
    <x v="1"/>
    <d v="2023-07-03T00:00:00"/>
    <n v="8"/>
    <n v="33097"/>
    <x v="0"/>
    <x v="0"/>
    <x v="3"/>
    <s v="Middle Age"/>
    <x v="3"/>
  </r>
  <r>
    <n v="887"/>
    <x v="0"/>
    <n v="45"/>
    <x v="2"/>
    <x v="2"/>
    <x v="1"/>
    <d v="2023-12-28T00:00:00"/>
    <n v="6"/>
    <n v="17882"/>
    <x v="2"/>
    <x v="0"/>
    <x v="1"/>
    <s v="Middle Age"/>
    <x v="1"/>
  </r>
  <r>
    <n v="888"/>
    <x v="1"/>
    <n v="62"/>
    <x v="4"/>
    <x v="1"/>
    <x v="0"/>
    <d v="2023-11-19T00:00:00"/>
    <n v="6"/>
    <n v="6675"/>
    <x v="1"/>
    <x v="0"/>
    <x v="0"/>
    <s v="Senior"/>
    <x v="0"/>
  </r>
  <r>
    <n v="889"/>
    <x v="1"/>
    <n v="58"/>
    <x v="1"/>
    <x v="0"/>
    <x v="2"/>
    <d v="2023-01-13T00:00:00"/>
    <n v="2"/>
    <n v="43850"/>
    <x v="0"/>
    <x v="0"/>
    <x v="11"/>
    <s v="Middle Age"/>
    <x v="11"/>
  </r>
  <r>
    <n v="890"/>
    <x v="0"/>
    <n v="67"/>
    <x v="1"/>
    <x v="0"/>
    <x v="0"/>
    <d v="2023-07-22T00:00:00"/>
    <n v="6"/>
    <n v="15009"/>
    <x v="1"/>
    <x v="0"/>
    <x v="3"/>
    <s v="Senior"/>
    <x v="3"/>
  </r>
  <r>
    <n v="891"/>
    <x v="0"/>
    <n v="56"/>
    <x v="2"/>
    <x v="0"/>
    <x v="0"/>
    <d v="2023-10-05T00:00:00"/>
    <n v="5"/>
    <n v="29843"/>
    <x v="0"/>
    <x v="0"/>
    <x v="5"/>
    <s v="Middle Age"/>
    <x v="5"/>
  </r>
  <r>
    <n v="892"/>
    <x v="0"/>
    <n v="40"/>
    <x v="4"/>
    <x v="4"/>
    <x v="3"/>
    <d v="2023-05-26T00:00:00"/>
    <n v="13"/>
    <n v="31793"/>
    <x v="1"/>
    <x v="0"/>
    <x v="6"/>
    <s v="Middle Age"/>
    <x v="6"/>
  </r>
  <r>
    <n v="893"/>
    <x v="0"/>
    <n v="40"/>
    <x v="3"/>
    <x v="4"/>
    <x v="3"/>
    <d v="2023-02-28T00:00:00"/>
    <n v="3"/>
    <n v="41516"/>
    <x v="1"/>
    <x v="0"/>
    <x v="9"/>
    <s v="Middle Age"/>
    <x v="9"/>
  </r>
  <r>
    <n v="894"/>
    <x v="0"/>
    <n v="77"/>
    <x v="4"/>
    <x v="3"/>
    <x v="1"/>
    <d v="2023-06-08T00:00:00"/>
    <n v="6"/>
    <n v="40871"/>
    <x v="2"/>
    <x v="0"/>
    <x v="4"/>
    <s v="Senior"/>
    <x v="4"/>
  </r>
  <r>
    <n v="895"/>
    <x v="1"/>
    <n v="33"/>
    <x v="5"/>
    <x v="3"/>
    <x v="0"/>
    <d v="2023-09-28T00:00:00"/>
    <n v="8"/>
    <n v="19857"/>
    <x v="1"/>
    <x v="0"/>
    <x v="8"/>
    <s v="Adult"/>
    <x v="8"/>
  </r>
  <r>
    <n v="896"/>
    <x v="1"/>
    <n v="6"/>
    <x v="0"/>
    <x v="3"/>
    <x v="1"/>
    <d v="2023-10-12T00:00:00"/>
    <n v="9"/>
    <n v="21627"/>
    <x v="1"/>
    <x v="0"/>
    <x v="5"/>
    <s v="Child"/>
    <x v="5"/>
  </r>
  <r>
    <n v="897"/>
    <x v="1"/>
    <n v="88"/>
    <x v="3"/>
    <x v="4"/>
    <x v="2"/>
    <d v="2023-03-12T00:00:00"/>
    <n v="1"/>
    <n v="20565"/>
    <x v="1"/>
    <x v="0"/>
    <x v="7"/>
    <s v="Senior"/>
    <x v="7"/>
  </r>
  <r>
    <n v="898"/>
    <x v="1"/>
    <n v="19"/>
    <x v="1"/>
    <x v="4"/>
    <x v="0"/>
    <d v="2023-06-09T00:00:00"/>
    <n v="3"/>
    <n v="28025"/>
    <x v="0"/>
    <x v="0"/>
    <x v="4"/>
    <s v="Adult"/>
    <x v="4"/>
  </r>
  <r>
    <n v="899"/>
    <x v="0"/>
    <n v="80"/>
    <x v="3"/>
    <x v="3"/>
    <x v="0"/>
    <d v="2023-03-23T00:00:00"/>
    <n v="3"/>
    <n v="29832"/>
    <x v="2"/>
    <x v="0"/>
    <x v="7"/>
    <s v="Senior"/>
    <x v="7"/>
  </r>
  <r>
    <n v="900"/>
    <x v="0"/>
    <n v="40"/>
    <x v="1"/>
    <x v="3"/>
    <x v="2"/>
    <d v="2023-02-01T00:00:00"/>
    <n v="11"/>
    <n v="46116"/>
    <x v="2"/>
    <x v="0"/>
    <x v="9"/>
    <s v="Middle Age"/>
    <x v="9"/>
  </r>
  <r>
    <n v="901"/>
    <x v="0"/>
    <n v="59"/>
    <x v="1"/>
    <x v="2"/>
    <x v="2"/>
    <d v="2023-08-01T00:00:00"/>
    <n v="8"/>
    <n v="11782"/>
    <x v="1"/>
    <x v="0"/>
    <x v="10"/>
    <s v="Middle Age"/>
    <x v="10"/>
  </r>
  <r>
    <n v="902"/>
    <x v="1"/>
    <n v="59"/>
    <x v="3"/>
    <x v="3"/>
    <x v="1"/>
    <d v="2023-04-21T00:00:00"/>
    <n v="1"/>
    <n v="40650"/>
    <x v="2"/>
    <x v="0"/>
    <x v="2"/>
    <s v="Middle Age"/>
    <x v="2"/>
  </r>
  <r>
    <n v="903"/>
    <x v="1"/>
    <n v="48"/>
    <x v="1"/>
    <x v="2"/>
    <x v="1"/>
    <d v="2023-05-03T00:00:00"/>
    <n v="5"/>
    <n v="24366"/>
    <x v="1"/>
    <x v="0"/>
    <x v="6"/>
    <s v="Middle Age"/>
    <x v="6"/>
  </r>
  <r>
    <n v="904"/>
    <x v="0"/>
    <n v="41"/>
    <x v="1"/>
    <x v="1"/>
    <x v="2"/>
    <d v="2023-10-13T00:00:00"/>
    <n v="3"/>
    <n v="30557"/>
    <x v="1"/>
    <x v="0"/>
    <x v="5"/>
    <s v="Middle Age"/>
    <x v="5"/>
  </r>
  <r>
    <n v="905"/>
    <x v="0"/>
    <n v="13"/>
    <x v="5"/>
    <x v="4"/>
    <x v="1"/>
    <d v="2023-04-01T00:00:00"/>
    <n v="2"/>
    <n v="7798"/>
    <x v="2"/>
    <x v="0"/>
    <x v="2"/>
    <s v="Child"/>
    <x v="2"/>
  </r>
  <r>
    <n v="906"/>
    <x v="1"/>
    <n v="45"/>
    <x v="4"/>
    <x v="3"/>
    <x v="2"/>
    <d v="2024-01-01T00:00:00"/>
    <n v="8"/>
    <n v="11627"/>
    <x v="1"/>
    <x v="1"/>
    <x v="11"/>
    <s v="Middle Age"/>
    <x v="11"/>
  </r>
  <r>
    <n v="907"/>
    <x v="1"/>
    <n v="89"/>
    <x v="4"/>
    <x v="4"/>
    <x v="0"/>
    <d v="2023-01-05T00:00:00"/>
    <n v="3"/>
    <n v="43183"/>
    <x v="1"/>
    <x v="0"/>
    <x v="11"/>
    <s v="Senior"/>
    <x v="11"/>
  </r>
  <r>
    <n v="908"/>
    <x v="0"/>
    <n v="53"/>
    <x v="0"/>
    <x v="4"/>
    <x v="0"/>
    <d v="2023-04-24T00:00:00"/>
    <n v="7"/>
    <n v="14466"/>
    <x v="1"/>
    <x v="0"/>
    <x v="2"/>
    <s v="Middle Age"/>
    <x v="2"/>
  </r>
  <r>
    <n v="909"/>
    <x v="0"/>
    <n v="42"/>
    <x v="0"/>
    <x v="4"/>
    <x v="3"/>
    <d v="2023-02-20T00:00:00"/>
    <n v="12"/>
    <n v="44614"/>
    <x v="1"/>
    <x v="0"/>
    <x v="9"/>
    <s v="Middle Age"/>
    <x v="9"/>
  </r>
  <r>
    <n v="910"/>
    <x v="1"/>
    <n v="63"/>
    <x v="5"/>
    <x v="1"/>
    <x v="0"/>
    <d v="2023-06-21T00:00:00"/>
    <n v="11"/>
    <n v="14720"/>
    <x v="2"/>
    <x v="0"/>
    <x v="4"/>
    <s v="Senior"/>
    <x v="4"/>
  </r>
  <r>
    <n v="911"/>
    <x v="0"/>
    <n v="27"/>
    <x v="0"/>
    <x v="0"/>
    <x v="2"/>
    <d v="2023-11-07T00:00:00"/>
    <n v="1"/>
    <n v="43913"/>
    <x v="1"/>
    <x v="0"/>
    <x v="0"/>
    <s v="Adult"/>
    <x v="0"/>
  </r>
  <r>
    <n v="912"/>
    <x v="0"/>
    <n v="38"/>
    <x v="3"/>
    <x v="3"/>
    <x v="1"/>
    <d v="2023-01-27T00:00:00"/>
    <n v="6"/>
    <n v="39292"/>
    <x v="2"/>
    <x v="0"/>
    <x v="11"/>
    <s v="Adult"/>
    <x v="11"/>
  </r>
  <r>
    <n v="913"/>
    <x v="0"/>
    <n v="60"/>
    <x v="2"/>
    <x v="0"/>
    <x v="3"/>
    <d v="2023-12-01T00:00:00"/>
    <n v="3"/>
    <n v="8559"/>
    <x v="1"/>
    <x v="0"/>
    <x v="1"/>
    <s v="Senior"/>
    <x v="1"/>
  </r>
  <r>
    <n v="914"/>
    <x v="1"/>
    <n v="7"/>
    <x v="2"/>
    <x v="0"/>
    <x v="1"/>
    <d v="2023-09-22T00:00:00"/>
    <n v="8"/>
    <n v="42388"/>
    <x v="1"/>
    <x v="0"/>
    <x v="8"/>
    <s v="Child"/>
    <x v="8"/>
  </r>
  <r>
    <n v="915"/>
    <x v="1"/>
    <n v="5"/>
    <x v="2"/>
    <x v="0"/>
    <x v="2"/>
    <d v="2023-02-25T00:00:00"/>
    <n v="6"/>
    <n v="21158"/>
    <x v="1"/>
    <x v="0"/>
    <x v="9"/>
    <s v="Child"/>
    <x v="9"/>
  </r>
  <r>
    <n v="916"/>
    <x v="1"/>
    <n v="45"/>
    <x v="5"/>
    <x v="4"/>
    <x v="0"/>
    <d v="2023-11-12T00:00:00"/>
    <n v="12"/>
    <n v="32916"/>
    <x v="2"/>
    <x v="0"/>
    <x v="0"/>
    <s v="Middle Age"/>
    <x v="0"/>
  </r>
  <r>
    <n v="917"/>
    <x v="1"/>
    <n v="58"/>
    <x v="5"/>
    <x v="2"/>
    <x v="3"/>
    <d v="2023-10-13T00:00:00"/>
    <n v="2"/>
    <n v="24057"/>
    <x v="1"/>
    <x v="0"/>
    <x v="5"/>
    <s v="Middle Age"/>
    <x v="5"/>
  </r>
  <r>
    <n v="918"/>
    <x v="1"/>
    <n v="31"/>
    <x v="1"/>
    <x v="4"/>
    <x v="2"/>
    <d v="2023-01-25T00:00:00"/>
    <n v="6"/>
    <n v="37892"/>
    <x v="0"/>
    <x v="0"/>
    <x v="11"/>
    <s v="Adult"/>
    <x v="11"/>
  </r>
  <r>
    <n v="919"/>
    <x v="1"/>
    <n v="23"/>
    <x v="2"/>
    <x v="4"/>
    <x v="3"/>
    <d v="2023-01-04T00:00:00"/>
    <n v="7"/>
    <n v="43439"/>
    <x v="1"/>
    <x v="0"/>
    <x v="11"/>
    <s v="Adult"/>
    <x v="11"/>
  </r>
  <r>
    <n v="920"/>
    <x v="1"/>
    <n v="42"/>
    <x v="3"/>
    <x v="0"/>
    <x v="3"/>
    <d v="2023-09-27T00:00:00"/>
    <n v="5"/>
    <n v="13706"/>
    <x v="1"/>
    <x v="0"/>
    <x v="8"/>
    <s v="Middle Age"/>
    <x v="8"/>
  </r>
  <r>
    <n v="921"/>
    <x v="0"/>
    <n v="10"/>
    <x v="0"/>
    <x v="4"/>
    <x v="0"/>
    <d v="2023-07-15T00:00:00"/>
    <n v="3"/>
    <n v="14070"/>
    <x v="1"/>
    <x v="0"/>
    <x v="3"/>
    <s v="Child"/>
    <x v="3"/>
  </r>
  <r>
    <n v="922"/>
    <x v="0"/>
    <n v="32"/>
    <x v="3"/>
    <x v="0"/>
    <x v="2"/>
    <d v="2023-09-28T00:00:00"/>
    <n v="4"/>
    <n v="42902"/>
    <x v="0"/>
    <x v="0"/>
    <x v="8"/>
    <s v="Adult"/>
    <x v="8"/>
  </r>
  <r>
    <n v="923"/>
    <x v="0"/>
    <n v="53"/>
    <x v="0"/>
    <x v="2"/>
    <x v="1"/>
    <d v="2023-03-07T00:00:00"/>
    <n v="4"/>
    <n v="2924"/>
    <x v="2"/>
    <x v="0"/>
    <x v="7"/>
    <s v="Middle Age"/>
    <x v="7"/>
  </r>
  <r>
    <n v="924"/>
    <x v="0"/>
    <n v="30"/>
    <x v="2"/>
    <x v="3"/>
    <x v="3"/>
    <d v="2023-06-13T00:00:00"/>
    <n v="6"/>
    <n v="28478"/>
    <x v="1"/>
    <x v="0"/>
    <x v="4"/>
    <s v="Adult"/>
    <x v="4"/>
  </r>
  <r>
    <n v="925"/>
    <x v="0"/>
    <n v="39"/>
    <x v="2"/>
    <x v="0"/>
    <x v="3"/>
    <d v="2023-04-25T00:00:00"/>
    <n v="10"/>
    <n v="7506"/>
    <x v="1"/>
    <x v="0"/>
    <x v="2"/>
    <s v="Adult"/>
    <x v="2"/>
  </r>
  <r>
    <n v="926"/>
    <x v="0"/>
    <n v="31"/>
    <x v="2"/>
    <x v="2"/>
    <x v="1"/>
    <d v="2023-02-07T00:00:00"/>
    <n v="1"/>
    <n v="48418"/>
    <x v="1"/>
    <x v="0"/>
    <x v="9"/>
    <s v="Adult"/>
    <x v="9"/>
  </r>
  <r>
    <n v="927"/>
    <x v="0"/>
    <n v="82"/>
    <x v="5"/>
    <x v="3"/>
    <x v="2"/>
    <d v="2023-06-27T00:00:00"/>
    <n v="11"/>
    <n v="37163"/>
    <x v="2"/>
    <x v="0"/>
    <x v="4"/>
    <s v="Senior"/>
    <x v="4"/>
  </r>
  <r>
    <n v="928"/>
    <x v="1"/>
    <n v="2"/>
    <x v="0"/>
    <x v="1"/>
    <x v="3"/>
    <d v="2023-08-29T00:00:00"/>
    <n v="4"/>
    <n v="26604"/>
    <x v="1"/>
    <x v="0"/>
    <x v="10"/>
    <s v="Child"/>
    <x v="10"/>
  </r>
  <r>
    <n v="929"/>
    <x v="1"/>
    <n v="78"/>
    <x v="5"/>
    <x v="0"/>
    <x v="3"/>
    <d v="2023-03-31T00:00:00"/>
    <n v="10"/>
    <n v="17310"/>
    <x v="2"/>
    <x v="0"/>
    <x v="7"/>
    <s v="Senior"/>
    <x v="7"/>
  </r>
  <r>
    <n v="930"/>
    <x v="0"/>
    <n v="77"/>
    <x v="5"/>
    <x v="0"/>
    <x v="3"/>
    <d v="2023-04-12T00:00:00"/>
    <n v="13"/>
    <n v="10226"/>
    <x v="0"/>
    <x v="0"/>
    <x v="2"/>
    <s v="Senior"/>
    <x v="2"/>
  </r>
  <r>
    <n v="931"/>
    <x v="0"/>
    <n v="12"/>
    <x v="4"/>
    <x v="1"/>
    <x v="2"/>
    <d v="2023-02-18T00:00:00"/>
    <n v="4"/>
    <n v="13781"/>
    <x v="1"/>
    <x v="0"/>
    <x v="9"/>
    <s v="Child"/>
    <x v="9"/>
  </r>
  <r>
    <n v="932"/>
    <x v="1"/>
    <n v="39"/>
    <x v="3"/>
    <x v="1"/>
    <x v="2"/>
    <d v="2023-10-01T00:00:00"/>
    <n v="10"/>
    <n v="7515"/>
    <x v="2"/>
    <x v="0"/>
    <x v="5"/>
    <s v="Adult"/>
    <x v="5"/>
  </r>
  <r>
    <n v="933"/>
    <x v="0"/>
    <n v="66"/>
    <x v="3"/>
    <x v="0"/>
    <x v="1"/>
    <d v="2023-11-24T00:00:00"/>
    <n v="1"/>
    <n v="38133"/>
    <x v="1"/>
    <x v="0"/>
    <x v="0"/>
    <s v="Senior"/>
    <x v="0"/>
  </r>
  <r>
    <n v="934"/>
    <x v="0"/>
    <n v="13"/>
    <x v="1"/>
    <x v="1"/>
    <x v="2"/>
    <d v="2023-06-25T00:00:00"/>
    <n v="9"/>
    <n v="18972"/>
    <x v="1"/>
    <x v="0"/>
    <x v="4"/>
    <s v="Child"/>
    <x v="4"/>
  </r>
  <r>
    <n v="935"/>
    <x v="1"/>
    <n v="46"/>
    <x v="5"/>
    <x v="4"/>
    <x v="2"/>
    <d v="2023-04-11T00:00:00"/>
    <n v="4"/>
    <n v="34092"/>
    <x v="1"/>
    <x v="0"/>
    <x v="2"/>
    <s v="Middle Age"/>
    <x v="2"/>
  </r>
  <r>
    <n v="936"/>
    <x v="0"/>
    <n v="27"/>
    <x v="0"/>
    <x v="3"/>
    <x v="0"/>
    <d v="2023-04-22T00:00:00"/>
    <n v="7"/>
    <n v="13410"/>
    <x v="1"/>
    <x v="0"/>
    <x v="2"/>
    <s v="Adult"/>
    <x v="2"/>
  </r>
  <r>
    <n v="937"/>
    <x v="1"/>
    <n v="17"/>
    <x v="4"/>
    <x v="3"/>
    <x v="1"/>
    <d v="2023-07-08T00:00:00"/>
    <n v="12"/>
    <n v="21522"/>
    <x v="2"/>
    <x v="0"/>
    <x v="3"/>
    <s v="Child"/>
    <x v="3"/>
  </r>
  <r>
    <n v="938"/>
    <x v="0"/>
    <n v="60"/>
    <x v="4"/>
    <x v="3"/>
    <x v="3"/>
    <d v="2023-07-23T00:00:00"/>
    <n v="14"/>
    <n v="11095"/>
    <x v="1"/>
    <x v="0"/>
    <x v="3"/>
    <s v="Senior"/>
    <x v="3"/>
  </r>
  <r>
    <n v="939"/>
    <x v="1"/>
    <n v="64"/>
    <x v="3"/>
    <x v="4"/>
    <x v="2"/>
    <d v="2023-12-28T00:00:00"/>
    <n v="3"/>
    <n v="25047"/>
    <x v="1"/>
    <x v="0"/>
    <x v="1"/>
    <s v="Senior"/>
    <x v="1"/>
  </r>
  <r>
    <n v="940"/>
    <x v="1"/>
    <n v="88"/>
    <x v="5"/>
    <x v="1"/>
    <x v="3"/>
    <d v="2023-06-08T00:00:00"/>
    <n v="10"/>
    <n v="22470"/>
    <x v="1"/>
    <x v="0"/>
    <x v="4"/>
    <s v="Senior"/>
    <x v="4"/>
  </r>
  <r>
    <n v="941"/>
    <x v="1"/>
    <n v="35"/>
    <x v="1"/>
    <x v="2"/>
    <x v="3"/>
    <d v="2023-05-23T00:00:00"/>
    <n v="12"/>
    <n v="45129"/>
    <x v="1"/>
    <x v="0"/>
    <x v="6"/>
    <s v="Adult"/>
    <x v="6"/>
  </r>
  <r>
    <n v="942"/>
    <x v="0"/>
    <n v="70"/>
    <x v="5"/>
    <x v="1"/>
    <x v="0"/>
    <d v="2023-03-11T00:00:00"/>
    <n v="3"/>
    <n v="10531"/>
    <x v="1"/>
    <x v="0"/>
    <x v="7"/>
    <s v="Senior"/>
    <x v="7"/>
  </r>
  <r>
    <n v="943"/>
    <x v="1"/>
    <n v="83"/>
    <x v="2"/>
    <x v="0"/>
    <x v="2"/>
    <d v="2023-08-23T00:00:00"/>
    <n v="14"/>
    <n v="39038"/>
    <x v="1"/>
    <x v="0"/>
    <x v="10"/>
    <s v="Senior"/>
    <x v="10"/>
  </r>
  <r>
    <n v="944"/>
    <x v="0"/>
    <n v="30"/>
    <x v="5"/>
    <x v="3"/>
    <x v="1"/>
    <d v="2023-07-25T00:00:00"/>
    <n v="8"/>
    <n v="24403"/>
    <x v="1"/>
    <x v="0"/>
    <x v="3"/>
    <s v="Adult"/>
    <x v="3"/>
  </r>
  <r>
    <n v="945"/>
    <x v="0"/>
    <n v="71"/>
    <x v="2"/>
    <x v="1"/>
    <x v="2"/>
    <d v="2023-01-10T00:00:00"/>
    <n v="8"/>
    <n v="44674"/>
    <x v="2"/>
    <x v="0"/>
    <x v="11"/>
    <s v="Senior"/>
    <x v="11"/>
  </r>
  <r>
    <n v="946"/>
    <x v="0"/>
    <n v="74"/>
    <x v="2"/>
    <x v="2"/>
    <x v="3"/>
    <d v="2023-05-12T00:00:00"/>
    <n v="11"/>
    <n v="31122"/>
    <x v="2"/>
    <x v="0"/>
    <x v="6"/>
    <s v="Senior"/>
    <x v="6"/>
  </r>
  <r>
    <n v="947"/>
    <x v="0"/>
    <n v="63"/>
    <x v="1"/>
    <x v="0"/>
    <x v="1"/>
    <d v="2023-10-30T00:00:00"/>
    <n v="12"/>
    <n v="18940"/>
    <x v="1"/>
    <x v="0"/>
    <x v="5"/>
    <s v="Senior"/>
    <x v="5"/>
  </r>
  <r>
    <n v="948"/>
    <x v="1"/>
    <n v="28"/>
    <x v="0"/>
    <x v="4"/>
    <x v="2"/>
    <d v="2023-12-31T00:00:00"/>
    <n v="1"/>
    <n v="31831"/>
    <x v="2"/>
    <x v="0"/>
    <x v="1"/>
    <s v="Adult"/>
    <x v="1"/>
  </r>
  <r>
    <n v="949"/>
    <x v="1"/>
    <n v="60"/>
    <x v="3"/>
    <x v="4"/>
    <x v="3"/>
    <d v="2023-12-12T00:00:00"/>
    <n v="10"/>
    <n v="13279"/>
    <x v="1"/>
    <x v="0"/>
    <x v="1"/>
    <s v="Senior"/>
    <x v="1"/>
  </r>
  <r>
    <n v="950"/>
    <x v="0"/>
    <n v="79"/>
    <x v="5"/>
    <x v="2"/>
    <x v="3"/>
    <d v="2023-11-06T00:00:00"/>
    <n v="2"/>
    <n v="40220"/>
    <x v="1"/>
    <x v="0"/>
    <x v="0"/>
    <s v="Senior"/>
    <x v="0"/>
  </r>
  <r>
    <n v="951"/>
    <x v="0"/>
    <n v="37"/>
    <x v="2"/>
    <x v="0"/>
    <x v="0"/>
    <d v="2023-03-26T00:00:00"/>
    <n v="8"/>
    <n v="8477"/>
    <x v="1"/>
    <x v="0"/>
    <x v="7"/>
    <s v="Adult"/>
    <x v="7"/>
  </r>
  <r>
    <n v="952"/>
    <x v="1"/>
    <n v="22"/>
    <x v="5"/>
    <x v="3"/>
    <x v="0"/>
    <d v="2023-04-01T00:00:00"/>
    <n v="1"/>
    <n v="19400"/>
    <x v="1"/>
    <x v="0"/>
    <x v="2"/>
    <s v="Adult"/>
    <x v="2"/>
  </r>
  <r>
    <n v="953"/>
    <x v="0"/>
    <n v="68"/>
    <x v="0"/>
    <x v="1"/>
    <x v="0"/>
    <d v="2023-01-27T00:00:00"/>
    <n v="12"/>
    <n v="8470"/>
    <x v="1"/>
    <x v="0"/>
    <x v="11"/>
    <s v="Senior"/>
    <x v="11"/>
  </r>
  <r>
    <n v="954"/>
    <x v="1"/>
    <n v="20"/>
    <x v="3"/>
    <x v="0"/>
    <x v="3"/>
    <d v="2023-11-09T00:00:00"/>
    <n v="8"/>
    <n v="4062"/>
    <x v="2"/>
    <x v="0"/>
    <x v="0"/>
    <s v="Adult"/>
    <x v="0"/>
  </r>
  <r>
    <n v="955"/>
    <x v="0"/>
    <n v="68"/>
    <x v="0"/>
    <x v="4"/>
    <x v="2"/>
    <d v="2023-09-19T00:00:00"/>
    <n v="8"/>
    <n v="43798"/>
    <x v="1"/>
    <x v="0"/>
    <x v="8"/>
    <s v="Senior"/>
    <x v="8"/>
  </r>
  <r>
    <n v="956"/>
    <x v="0"/>
    <n v="64"/>
    <x v="3"/>
    <x v="2"/>
    <x v="0"/>
    <d v="2023-01-17T00:00:00"/>
    <n v="2"/>
    <n v="21880"/>
    <x v="2"/>
    <x v="0"/>
    <x v="11"/>
    <s v="Senior"/>
    <x v="11"/>
  </r>
  <r>
    <n v="957"/>
    <x v="1"/>
    <n v="17"/>
    <x v="4"/>
    <x v="2"/>
    <x v="2"/>
    <d v="2023-03-26T00:00:00"/>
    <n v="4"/>
    <n v="36581"/>
    <x v="1"/>
    <x v="0"/>
    <x v="7"/>
    <s v="Child"/>
    <x v="7"/>
  </r>
  <r>
    <n v="958"/>
    <x v="0"/>
    <n v="12"/>
    <x v="3"/>
    <x v="1"/>
    <x v="0"/>
    <d v="2023-11-21T00:00:00"/>
    <n v="6"/>
    <n v="46439"/>
    <x v="2"/>
    <x v="0"/>
    <x v="0"/>
    <s v="Child"/>
    <x v="0"/>
  </r>
  <r>
    <n v="959"/>
    <x v="1"/>
    <n v="22"/>
    <x v="1"/>
    <x v="2"/>
    <x v="1"/>
    <d v="2023-08-28T00:00:00"/>
    <n v="12"/>
    <n v="16308"/>
    <x v="1"/>
    <x v="0"/>
    <x v="10"/>
    <s v="Adult"/>
    <x v="10"/>
  </r>
  <r>
    <n v="960"/>
    <x v="0"/>
    <n v="17"/>
    <x v="0"/>
    <x v="2"/>
    <x v="1"/>
    <d v="2023-01-20T00:00:00"/>
    <n v="11"/>
    <n v="28027"/>
    <x v="1"/>
    <x v="0"/>
    <x v="11"/>
    <s v="Child"/>
    <x v="11"/>
  </r>
  <r>
    <n v="961"/>
    <x v="0"/>
    <n v="10"/>
    <x v="2"/>
    <x v="0"/>
    <x v="0"/>
    <d v="2023-03-31T00:00:00"/>
    <n v="9"/>
    <n v="32720"/>
    <x v="1"/>
    <x v="0"/>
    <x v="7"/>
    <s v="Child"/>
    <x v="7"/>
  </r>
  <r>
    <n v="962"/>
    <x v="0"/>
    <n v="65"/>
    <x v="4"/>
    <x v="3"/>
    <x v="3"/>
    <d v="2023-08-14T00:00:00"/>
    <n v="8"/>
    <n v="37081"/>
    <x v="1"/>
    <x v="0"/>
    <x v="10"/>
    <s v="Senior"/>
    <x v="10"/>
  </r>
  <r>
    <n v="963"/>
    <x v="1"/>
    <n v="22"/>
    <x v="1"/>
    <x v="1"/>
    <x v="0"/>
    <d v="2023-03-16T00:00:00"/>
    <n v="12"/>
    <n v="11706"/>
    <x v="1"/>
    <x v="0"/>
    <x v="7"/>
    <s v="Adult"/>
    <x v="7"/>
  </r>
  <r>
    <n v="964"/>
    <x v="0"/>
    <n v="82"/>
    <x v="5"/>
    <x v="0"/>
    <x v="0"/>
    <d v="2023-08-01T00:00:00"/>
    <n v="8"/>
    <n v="11837"/>
    <x v="2"/>
    <x v="0"/>
    <x v="10"/>
    <s v="Senior"/>
    <x v="10"/>
  </r>
  <r>
    <n v="965"/>
    <x v="0"/>
    <n v="50"/>
    <x v="0"/>
    <x v="3"/>
    <x v="3"/>
    <d v="2023-10-21T00:00:00"/>
    <n v="7"/>
    <n v="40599"/>
    <x v="1"/>
    <x v="0"/>
    <x v="5"/>
    <s v="Middle Age"/>
    <x v="5"/>
  </r>
  <r>
    <n v="966"/>
    <x v="0"/>
    <n v="14"/>
    <x v="2"/>
    <x v="0"/>
    <x v="1"/>
    <d v="2023-09-03T00:00:00"/>
    <n v="14"/>
    <n v="38824"/>
    <x v="2"/>
    <x v="0"/>
    <x v="8"/>
    <s v="Child"/>
    <x v="8"/>
  </r>
  <r>
    <n v="967"/>
    <x v="0"/>
    <n v="64"/>
    <x v="3"/>
    <x v="0"/>
    <x v="2"/>
    <d v="2023-10-18T00:00:00"/>
    <n v="13"/>
    <n v="35073"/>
    <x v="1"/>
    <x v="0"/>
    <x v="5"/>
    <s v="Senior"/>
    <x v="5"/>
  </r>
  <r>
    <n v="968"/>
    <x v="1"/>
    <n v="47"/>
    <x v="2"/>
    <x v="2"/>
    <x v="0"/>
    <d v="2023-07-10T00:00:00"/>
    <n v="9"/>
    <n v="49115"/>
    <x v="2"/>
    <x v="0"/>
    <x v="3"/>
    <s v="Middle Age"/>
    <x v="3"/>
  </r>
  <r>
    <n v="969"/>
    <x v="1"/>
    <n v="29"/>
    <x v="5"/>
    <x v="3"/>
    <x v="3"/>
    <d v="2023-11-10T00:00:00"/>
    <n v="2"/>
    <n v="34088"/>
    <x v="1"/>
    <x v="0"/>
    <x v="0"/>
    <s v="Adult"/>
    <x v="0"/>
  </r>
  <r>
    <n v="970"/>
    <x v="0"/>
    <n v="76"/>
    <x v="4"/>
    <x v="1"/>
    <x v="0"/>
    <d v="2023-02-12T00:00:00"/>
    <n v="3"/>
    <n v="30112"/>
    <x v="1"/>
    <x v="0"/>
    <x v="9"/>
    <s v="Senior"/>
    <x v="9"/>
  </r>
  <r>
    <n v="971"/>
    <x v="1"/>
    <n v="36"/>
    <x v="4"/>
    <x v="1"/>
    <x v="3"/>
    <d v="2023-06-14T00:00:00"/>
    <n v="10"/>
    <n v="28299"/>
    <x v="0"/>
    <x v="0"/>
    <x v="4"/>
    <s v="Adult"/>
    <x v="4"/>
  </r>
  <r>
    <n v="972"/>
    <x v="0"/>
    <n v="52"/>
    <x v="0"/>
    <x v="3"/>
    <x v="2"/>
    <d v="2023-06-01T00:00:00"/>
    <n v="8"/>
    <n v="36457"/>
    <x v="1"/>
    <x v="0"/>
    <x v="4"/>
    <s v="Middle Age"/>
    <x v="4"/>
  </r>
  <r>
    <n v="973"/>
    <x v="0"/>
    <n v="76"/>
    <x v="4"/>
    <x v="2"/>
    <x v="2"/>
    <d v="2023-10-18T00:00:00"/>
    <n v="14"/>
    <n v="32063"/>
    <x v="1"/>
    <x v="0"/>
    <x v="5"/>
    <s v="Senior"/>
    <x v="5"/>
  </r>
  <r>
    <n v="974"/>
    <x v="0"/>
    <n v="7"/>
    <x v="0"/>
    <x v="4"/>
    <x v="1"/>
    <d v="2023-07-24T00:00:00"/>
    <n v="6"/>
    <n v="5917"/>
    <x v="1"/>
    <x v="0"/>
    <x v="3"/>
    <s v="Child"/>
    <x v="3"/>
  </r>
  <r>
    <n v="975"/>
    <x v="1"/>
    <n v="29"/>
    <x v="0"/>
    <x v="0"/>
    <x v="3"/>
    <d v="2023-01-24T00:00:00"/>
    <n v="10"/>
    <n v="4936"/>
    <x v="1"/>
    <x v="0"/>
    <x v="11"/>
    <s v="Adult"/>
    <x v="11"/>
  </r>
  <r>
    <n v="976"/>
    <x v="1"/>
    <n v="11"/>
    <x v="0"/>
    <x v="2"/>
    <x v="3"/>
    <d v="2023-01-07T00:00:00"/>
    <n v="9"/>
    <n v="38630"/>
    <x v="1"/>
    <x v="0"/>
    <x v="11"/>
    <s v="Child"/>
    <x v="11"/>
  </r>
  <r>
    <n v="977"/>
    <x v="1"/>
    <n v="33"/>
    <x v="3"/>
    <x v="3"/>
    <x v="1"/>
    <d v="2023-05-10T00:00:00"/>
    <n v="10"/>
    <n v="16506"/>
    <x v="2"/>
    <x v="0"/>
    <x v="6"/>
    <s v="Adult"/>
    <x v="6"/>
  </r>
  <r>
    <n v="978"/>
    <x v="1"/>
    <n v="6"/>
    <x v="1"/>
    <x v="0"/>
    <x v="1"/>
    <d v="2023-02-20T00:00:00"/>
    <n v="4"/>
    <n v="30805"/>
    <x v="1"/>
    <x v="0"/>
    <x v="9"/>
    <s v="Child"/>
    <x v="9"/>
  </r>
  <r>
    <n v="979"/>
    <x v="1"/>
    <n v="79"/>
    <x v="0"/>
    <x v="1"/>
    <x v="3"/>
    <d v="2023-08-10T00:00:00"/>
    <n v="8"/>
    <n v="16318"/>
    <x v="1"/>
    <x v="0"/>
    <x v="10"/>
    <s v="Senior"/>
    <x v="10"/>
  </r>
  <r>
    <n v="980"/>
    <x v="1"/>
    <n v="32"/>
    <x v="0"/>
    <x v="4"/>
    <x v="1"/>
    <d v="2023-04-02T00:00:00"/>
    <n v="10"/>
    <n v="28026"/>
    <x v="1"/>
    <x v="0"/>
    <x v="2"/>
    <s v="Adult"/>
    <x v="2"/>
  </r>
  <r>
    <n v="981"/>
    <x v="1"/>
    <n v="51"/>
    <x v="1"/>
    <x v="1"/>
    <x v="2"/>
    <d v="2023-09-27T00:00:00"/>
    <n v="3"/>
    <n v="29672"/>
    <x v="1"/>
    <x v="0"/>
    <x v="8"/>
    <s v="Middle Age"/>
    <x v="8"/>
  </r>
  <r>
    <n v="982"/>
    <x v="1"/>
    <n v="75"/>
    <x v="2"/>
    <x v="3"/>
    <x v="0"/>
    <d v="2023-10-19T00:00:00"/>
    <n v="3"/>
    <n v="40417"/>
    <x v="1"/>
    <x v="0"/>
    <x v="5"/>
    <s v="Senior"/>
    <x v="5"/>
  </r>
  <r>
    <n v="983"/>
    <x v="1"/>
    <n v="58"/>
    <x v="0"/>
    <x v="0"/>
    <x v="2"/>
    <d v="2023-02-12T00:00:00"/>
    <n v="8"/>
    <n v="29281"/>
    <x v="2"/>
    <x v="0"/>
    <x v="9"/>
    <s v="Middle Age"/>
    <x v="9"/>
  </r>
  <r>
    <n v="984"/>
    <x v="0"/>
    <n v="87"/>
    <x v="3"/>
    <x v="3"/>
    <x v="1"/>
    <d v="2023-07-12T00:00:00"/>
    <n v="5"/>
    <n v="30091"/>
    <x v="1"/>
    <x v="0"/>
    <x v="3"/>
    <s v="Senior"/>
    <x v="3"/>
  </r>
  <r>
    <n v="985"/>
    <x v="1"/>
    <n v="26"/>
    <x v="4"/>
    <x v="0"/>
    <x v="3"/>
    <d v="2023-01-25T00:00:00"/>
    <n v="3"/>
    <n v="40328"/>
    <x v="2"/>
    <x v="0"/>
    <x v="11"/>
    <s v="Adult"/>
    <x v="11"/>
  </r>
  <r>
    <n v="986"/>
    <x v="1"/>
    <n v="46"/>
    <x v="4"/>
    <x v="2"/>
    <x v="3"/>
    <d v="2023-09-25T00:00:00"/>
    <n v="10"/>
    <n v="20610"/>
    <x v="1"/>
    <x v="0"/>
    <x v="8"/>
    <s v="Middle Age"/>
    <x v="8"/>
  </r>
  <r>
    <n v="987"/>
    <x v="1"/>
    <n v="29"/>
    <x v="5"/>
    <x v="4"/>
    <x v="2"/>
    <d v="2023-01-28T00:00:00"/>
    <n v="11"/>
    <n v="3079"/>
    <x v="1"/>
    <x v="0"/>
    <x v="11"/>
    <s v="Adult"/>
    <x v="11"/>
  </r>
  <r>
    <n v="988"/>
    <x v="1"/>
    <n v="4"/>
    <x v="5"/>
    <x v="2"/>
    <x v="3"/>
    <d v="2023-09-11T00:00:00"/>
    <n v="1"/>
    <n v="31850"/>
    <x v="1"/>
    <x v="0"/>
    <x v="8"/>
    <s v="Child"/>
    <x v="8"/>
  </r>
  <r>
    <n v="989"/>
    <x v="1"/>
    <n v="81"/>
    <x v="4"/>
    <x v="2"/>
    <x v="1"/>
    <d v="2023-04-02T00:00:00"/>
    <n v="3"/>
    <n v="48751"/>
    <x v="1"/>
    <x v="0"/>
    <x v="2"/>
    <s v="Senior"/>
    <x v="2"/>
  </r>
  <r>
    <n v="990"/>
    <x v="1"/>
    <n v="13"/>
    <x v="4"/>
    <x v="3"/>
    <x v="2"/>
    <d v="2023-04-11T00:00:00"/>
    <n v="12"/>
    <n v="22590"/>
    <x v="1"/>
    <x v="0"/>
    <x v="2"/>
    <s v="Child"/>
    <x v="2"/>
  </r>
  <r>
    <n v="991"/>
    <x v="1"/>
    <n v="39"/>
    <x v="3"/>
    <x v="4"/>
    <x v="3"/>
    <d v="2023-06-04T00:00:00"/>
    <n v="9"/>
    <n v="32951"/>
    <x v="1"/>
    <x v="0"/>
    <x v="4"/>
    <s v="Adult"/>
    <x v="4"/>
  </r>
  <r>
    <n v="992"/>
    <x v="1"/>
    <n v="15"/>
    <x v="1"/>
    <x v="0"/>
    <x v="0"/>
    <d v="2023-01-04T00:00:00"/>
    <n v="5"/>
    <n v="17327"/>
    <x v="2"/>
    <x v="0"/>
    <x v="11"/>
    <s v="Child"/>
    <x v="11"/>
  </r>
  <r>
    <n v="993"/>
    <x v="1"/>
    <n v="29"/>
    <x v="5"/>
    <x v="0"/>
    <x v="0"/>
    <d v="2023-09-06T00:00:00"/>
    <n v="12"/>
    <n v="14755"/>
    <x v="1"/>
    <x v="0"/>
    <x v="8"/>
    <s v="Adult"/>
    <x v="8"/>
  </r>
  <r>
    <n v="994"/>
    <x v="1"/>
    <n v="29"/>
    <x v="1"/>
    <x v="1"/>
    <x v="1"/>
    <d v="2023-08-04T00:00:00"/>
    <n v="10"/>
    <n v="9235"/>
    <x v="2"/>
    <x v="0"/>
    <x v="10"/>
    <s v="Adult"/>
    <x v="10"/>
  </r>
  <r>
    <n v="995"/>
    <x v="1"/>
    <n v="75"/>
    <x v="3"/>
    <x v="0"/>
    <x v="3"/>
    <d v="2023-05-22T00:00:00"/>
    <n v="2"/>
    <n v="19197"/>
    <x v="1"/>
    <x v="0"/>
    <x v="6"/>
    <s v="Senior"/>
    <x v="6"/>
  </r>
  <r>
    <n v="996"/>
    <x v="0"/>
    <n v="32"/>
    <x v="4"/>
    <x v="3"/>
    <x v="1"/>
    <d v="2023-05-18T00:00:00"/>
    <n v="7"/>
    <n v="23473"/>
    <x v="0"/>
    <x v="0"/>
    <x v="6"/>
    <s v="Adult"/>
    <x v="6"/>
  </r>
  <r>
    <n v="997"/>
    <x v="0"/>
    <n v="2"/>
    <x v="0"/>
    <x v="2"/>
    <x v="2"/>
    <d v="2023-01-08T00:00:00"/>
    <n v="2"/>
    <n v="4031"/>
    <x v="2"/>
    <x v="0"/>
    <x v="11"/>
    <s v="Child"/>
    <x v="11"/>
  </r>
  <r>
    <n v="998"/>
    <x v="1"/>
    <n v="47"/>
    <x v="1"/>
    <x v="2"/>
    <x v="0"/>
    <d v="2023-11-11T00:00:00"/>
    <n v="4"/>
    <n v="43282"/>
    <x v="1"/>
    <x v="0"/>
    <x v="0"/>
    <s v="Middle Age"/>
    <x v="0"/>
  </r>
  <r>
    <n v="999"/>
    <x v="1"/>
    <n v="78"/>
    <x v="4"/>
    <x v="2"/>
    <x v="2"/>
    <d v="2023-04-09T00:00:00"/>
    <n v="12"/>
    <n v="43863"/>
    <x v="2"/>
    <x v="0"/>
    <x v="2"/>
    <s v="Senior"/>
    <x v="2"/>
  </r>
  <r>
    <n v="1000"/>
    <x v="0"/>
    <n v="84"/>
    <x v="4"/>
    <x v="4"/>
    <x v="3"/>
    <d v="2023-10-16T00:00:00"/>
    <n v="7"/>
    <n v="16287"/>
    <x v="1"/>
    <x v="0"/>
    <x v="5"/>
    <s v="Senior"/>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4C700C-70EF-4FDE-BE54-5233328BCF48}"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67:M80" firstHeaderRow="1" firstDataRow="1" firstDataCol="1"/>
  <pivotFields count="14">
    <pivotField dataField="1" showAll="0"/>
    <pivotField showAll="0"/>
    <pivotField showAll="0"/>
    <pivotField showAll="0"/>
    <pivotField showAll="0"/>
    <pivotField showAll="0"/>
    <pivotField numFmtId="14" showAll="0"/>
    <pivotField showAll="0"/>
    <pivotField showAll="0"/>
    <pivotField showAll="0"/>
    <pivotField showAll="0"/>
    <pivotField axis="axisRow" showAll="0">
      <items count="13">
        <item x="11"/>
        <item x="9"/>
        <item x="7"/>
        <item x="2"/>
        <item x="6"/>
        <item x="4"/>
        <item x="3"/>
        <item x="10"/>
        <item x="8"/>
        <item x="5"/>
        <item x="0"/>
        <item x="1"/>
        <item t="default"/>
      </items>
    </pivotField>
    <pivotField showAll="0"/>
    <pivotField showAll="0"/>
  </pivotFields>
  <rowFields count="1">
    <field x="11"/>
  </rowFields>
  <rowItems count="13">
    <i>
      <x/>
    </i>
    <i>
      <x v="1"/>
    </i>
    <i>
      <x v="2"/>
    </i>
    <i>
      <x v="3"/>
    </i>
    <i>
      <x v="4"/>
    </i>
    <i>
      <x v="5"/>
    </i>
    <i>
      <x v="6"/>
    </i>
    <i>
      <x v="7"/>
    </i>
    <i>
      <x v="8"/>
    </i>
    <i>
      <x v="9"/>
    </i>
    <i>
      <x v="10"/>
    </i>
    <i>
      <x v="11"/>
    </i>
    <i t="grand">
      <x/>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BD35DB-9468-4035-803E-54B66E6128C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6:C41" firstHeaderRow="0" firstDataRow="1" firstDataCol="1"/>
  <pivotFields count="14">
    <pivotField dataField="1" showAll="0"/>
    <pivotField showAll="0">
      <items count="3">
        <item x="1"/>
        <item x="0"/>
        <item t="default"/>
      </items>
    </pivotField>
    <pivotField showAll="0"/>
    <pivotField showAll="0"/>
    <pivotField showAll="0">
      <items count="6">
        <item x="2"/>
        <item x="1"/>
        <item x="4"/>
        <item x="0"/>
        <item x="3"/>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numFmtId="14" showAll="0"/>
    <pivotField showAll="0"/>
    <pivotField dataField="1" showAll="0"/>
    <pivotField showAll="0"/>
    <pivotField showAll="0">
      <items count="3">
        <item x="0"/>
        <item x="1"/>
        <item t="default"/>
      </items>
    </pivotField>
    <pivotField showAll="0"/>
    <pivotField showAll="0"/>
    <pivotField showAll="0"/>
  </pivotFields>
  <rowFields count="1">
    <field x="5"/>
  </rowFields>
  <rowItems count="5">
    <i>
      <x v="1"/>
    </i>
    <i>
      <x v="2"/>
    </i>
    <i>
      <x v="3"/>
    </i>
    <i>
      <x/>
    </i>
    <i t="grand">
      <x/>
    </i>
  </rowItems>
  <colFields count="1">
    <field x="-2"/>
  </colFields>
  <colItems count="2">
    <i>
      <x/>
    </i>
    <i i="1">
      <x v="1"/>
    </i>
  </colItems>
  <dataFields count="2">
    <dataField name="Count of Patient_ID" fld="0" subtotal="count" baseField="5" baseItem="0"/>
    <dataField name="Sum of Treatment_Cost" fld="8" baseField="5"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6AF7A8-A33A-4D2A-B045-E9C1C0B3432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14">
    <pivotField dataField="1" showAll="0"/>
    <pivotField showAll="0">
      <items count="3">
        <item x="1"/>
        <item x="0"/>
        <item t="default"/>
      </items>
    </pivotField>
    <pivotField showAll="0"/>
    <pivotField axis="axisRow" showAll="0" sortType="descending" defaultSubtotal="0">
      <items count="6">
        <item x="4"/>
        <item x="0"/>
        <item x="2"/>
        <item x="3"/>
        <item x="1"/>
        <item x="5"/>
      </items>
      <autoSortScope>
        <pivotArea dataOnly="0" outline="0" fieldPosition="0">
          <references count="1">
            <reference field="4294967294" count="1" selected="0">
              <x v="0"/>
            </reference>
          </references>
        </pivotArea>
      </autoSortScope>
    </pivotField>
    <pivotField showAll="0">
      <items count="6">
        <item x="2"/>
        <item x="1"/>
        <item x="4"/>
        <item x="0"/>
        <item x="3"/>
        <item t="default"/>
      </items>
    </pivotField>
    <pivotField showAll="0">
      <items count="5">
        <item x="2"/>
        <item x="0"/>
        <item x="1"/>
        <item x="3"/>
        <item t="default"/>
      </items>
    </pivotField>
    <pivotField numFmtId="14" showAll="0"/>
    <pivotField showAll="0"/>
    <pivotField showAll="0"/>
    <pivotField showAll="0"/>
    <pivotField showAll="0">
      <items count="3">
        <item x="0"/>
        <item x="1"/>
        <item t="default"/>
      </items>
    </pivotField>
    <pivotField showAll="0"/>
    <pivotField showAll="0"/>
    <pivotField showAll="0"/>
  </pivotFields>
  <rowFields count="1">
    <field x="3"/>
  </rowFields>
  <rowItems count="7">
    <i>
      <x v="3"/>
    </i>
    <i>
      <x/>
    </i>
    <i>
      <x v="5"/>
    </i>
    <i>
      <x v="1"/>
    </i>
    <i>
      <x v="2"/>
    </i>
    <i>
      <x v="4"/>
    </i>
    <i t="grand">
      <x/>
    </i>
  </rowItems>
  <colItems count="1">
    <i/>
  </colItems>
  <dataFields count="1">
    <dataField name="Count of Patient_ID" fld="0" subtotal="count" baseField="3"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75B2EA-1224-4B2F-901F-4608696F0F9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9:E105" firstHeaderRow="1" firstDataRow="2" firstDataCol="1"/>
  <pivotFields count="14">
    <pivotField dataField="1" showAll="0"/>
    <pivotField showAll="0">
      <items count="3">
        <item x="1"/>
        <item x="0"/>
        <item t="default"/>
      </items>
    </pivotField>
    <pivotField showAll="0"/>
    <pivotField showAll="0">
      <items count="7">
        <item x="4"/>
        <item x="0"/>
        <item x="2"/>
        <item x="3"/>
        <item x="1"/>
        <item x="5"/>
        <item t="default"/>
      </items>
    </pivotField>
    <pivotField showAll="0">
      <items count="6">
        <item x="2"/>
        <item x="1"/>
        <item x="4"/>
        <item x="0"/>
        <item x="3"/>
        <item t="default"/>
      </items>
    </pivotField>
    <pivotField axis="axisRow" showAll="0" sortType="descending">
      <items count="5">
        <item x="2"/>
        <item x="0"/>
        <item x="1"/>
        <item x="3"/>
        <item t="default"/>
      </items>
      <autoSortScope>
        <pivotArea dataOnly="0" outline="0" fieldPosition="0">
          <references count="2">
            <reference field="4294967294" count="1" selected="0">
              <x v="0"/>
            </reference>
            <reference field="9" count="1" selected="0">
              <x v="1"/>
            </reference>
          </references>
        </pivotArea>
      </autoSortScope>
    </pivotField>
    <pivotField numFmtId="14" showAll="0"/>
    <pivotField showAll="0"/>
    <pivotField showAll="0"/>
    <pivotField axis="axisCol" showAll="0">
      <items count="4">
        <item x="0"/>
        <item x="1"/>
        <item x="2"/>
        <item t="default"/>
      </items>
    </pivotField>
    <pivotField showAll="0">
      <items count="3">
        <item x="0"/>
        <item x="1"/>
        <item t="default"/>
      </items>
    </pivotField>
    <pivotField showAll="0"/>
    <pivotField showAll="0"/>
    <pivotField showAll="0"/>
  </pivotFields>
  <rowFields count="1">
    <field x="5"/>
  </rowFields>
  <rowItems count="5">
    <i>
      <x v="1"/>
    </i>
    <i>
      <x/>
    </i>
    <i>
      <x v="2"/>
    </i>
    <i>
      <x v="3"/>
    </i>
    <i t="grand">
      <x/>
    </i>
  </rowItems>
  <colFields count="1">
    <field x="9"/>
  </colFields>
  <colItems count="4">
    <i>
      <x/>
    </i>
    <i>
      <x v="1"/>
    </i>
    <i>
      <x v="2"/>
    </i>
    <i t="grand">
      <x/>
    </i>
  </colItems>
  <dataFields count="1">
    <dataField name="Count of Patient_ID" fld="0" subtotal="count" baseField="1"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9" count="1" selected="0">
            <x v="0"/>
          </reference>
        </references>
      </pivotArea>
    </chartFormat>
    <chartFormat chart="1" format="1" series="1">
      <pivotArea type="data" outline="0" fieldPosition="0">
        <references count="2">
          <reference field="4294967294" count="1" selected="0">
            <x v="0"/>
          </reference>
          <reference field="9" count="1" selected="0">
            <x v="1"/>
          </reference>
        </references>
      </pivotArea>
    </chartFormat>
    <chartFormat chart="1" format="2" series="1">
      <pivotArea type="data" outline="0" fieldPosition="0">
        <references count="2">
          <reference field="4294967294" count="1" selected="0">
            <x v="0"/>
          </reference>
          <reference field="9" count="1" selected="0">
            <x v="2"/>
          </reference>
        </references>
      </pivotArea>
    </chartFormat>
    <chartFormat chart="4" format="6" series="1">
      <pivotArea type="data" outline="0" fieldPosition="0">
        <references count="2">
          <reference field="4294967294" count="1" selected="0">
            <x v="0"/>
          </reference>
          <reference field="9" count="1" selected="0">
            <x v="0"/>
          </reference>
        </references>
      </pivotArea>
    </chartFormat>
    <chartFormat chart="4" format="7" series="1">
      <pivotArea type="data" outline="0" fieldPosition="0">
        <references count="2">
          <reference field="4294967294" count="1" selected="0">
            <x v="0"/>
          </reference>
          <reference field="9" count="1" selected="0">
            <x v="1"/>
          </reference>
        </references>
      </pivotArea>
    </chartFormat>
    <chartFormat chart="4" format="8" series="1">
      <pivotArea type="data" outline="0" fieldPosition="0">
        <references count="2">
          <reference field="4294967294" count="1" selected="0">
            <x v="0"/>
          </reference>
          <reference field="9" count="1" selected="0">
            <x v="2"/>
          </reference>
        </references>
      </pivotArea>
    </chartFormat>
    <chartFormat chart="4" format="9"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997339-866F-4456-AB1F-FF5DB250FE5A}"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87:B90" firstHeaderRow="1" firstDataRow="1" firstDataCol="1"/>
  <pivotFields count="14">
    <pivotField dataField="1" showAll="0"/>
    <pivotField axis="axisRow" showAll="0">
      <items count="3">
        <item x="1"/>
        <item x="0"/>
        <item t="default"/>
      </items>
    </pivotField>
    <pivotField showAll="0"/>
    <pivotField showAll="0"/>
    <pivotField showAll="0">
      <items count="6">
        <item x="2"/>
        <item x="1"/>
        <item x="4"/>
        <item x="0"/>
        <item x="3"/>
        <item t="default"/>
      </items>
    </pivotField>
    <pivotField showAll="0">
      <items count="5">
        <item x="2"/>
        <item x="0"/>
        <item x="1"/>
        <item x="3"/>
        <item t="default"/>
      </items>
    </pivotField>
    <pivotField numFmtId="14" showAll="0"/>
    <pivotField showAll="0"/>
    <pivotField showAll="0"/>
    <pivotField showAll="0"/>
    <pivotField showAll="0">
      <items count="3">
        <item x="0"/>
        <item x="1"/>
        <item t="default"/>
      </items>
    </pivotField>
    <pivotField showAll="0"/>
    <pivotField showAll="0"/>
    <pivotField showAll="0"/>
  </pivotFields>
  <rowFields count="1">
    <field x="1"/>
  </rowFields>
  <rowItems count="3">
    <i>
      <x/>
    </i>
    <i>
      <x v="1"/>
    </i>
    <i t="grand">
      <x/>
    </i>
  </rowItems>
  <colItems count="1">
    <i/>
  </colItems>
  <dataFields count="1">
    <dataField name="Count of Patient_ID" fld="0" subtotal="count" baseField="1" baseItem="0"/>
  </dataFields>
  <formats count="2">
    <format dxfId="25">
      <pivotArea collapsedLevelsAreSubtotals="1" fieldPosition="0">
        <references count="1">
          <reference field="1" count="0"/>
        </references>
      </pivotArea>
    </format>
    <format dxfId="24">
      <pivotArea dataOnly="0" labelOnly="1" outline="0" axis="axisValues" fieldPosition="0"/>
    </format>
  </formats>
  <chartFormats count="4">
    <chartFormat chart="10"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1" count="1" selected="0">
            <x v="0"/>
          </reference>
        </references>
      </pivotArea>
    </chartFormat>
    <chartFormat chart="22"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964D34-F214-413D-97F0-54DA92DE251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7:B80" firstHeaderRow="1" firstDataRow="1" firstDataCol="1"/>
  <pivotFields count="14">
    <pivotField dataField="1" showAll="0"/>
    <pivotField showAll="0">
      <items count="3">
        <item x="1"/>
        <item x="0"/>
        <item t="default"/>
      </items>
    </pivotField>
    <pivotField showAll="0"/>
    <pivotField showAll="0"/>
    <pivotField showAll="0">
      <items count="6">
        <item x="2"/>
        <item x="1"/>
        <item x="4"/>
        <item x="0"/>
        <item x="3"/>
        <item t="default"/>
      </items>
    </pivotField>
    <pivotField showAll="0">
      <items count="5">
        <item x="2"/>
        <item x="0"/>
        <item x="1"/>
        <item x="3"/>
        <item t="default"/>
      </items>
    </pivotField>
    <pivotField numFmtId="14" showAll="0"/>
    <pivotField showAll="0"/>
    <pivotField showAll="0"/>
    <pivotField showAll="0"/>
    <pivotField showAll="0">
      <items count="3">
        <item x="0"/>
        <item x="1"/>
        <item t="default"/>
      </items>
    </pivotField>
    <pivotField showAll="0"/>
    <pivotField showAll="0"/>
    <pivotField axis="axisRow" showAll="0">
      <items count="13">
        <item x="11"/>
        <item x="9"/>
        <item x="7"/>
        <item x="2"/>
        <item x="6"/>
        <item x="4"/>
        <item x="3"/>
        <item x="10"/>
        <item x="8"/>
        <item x="5"/>
        <item x="0"/>
        <item x="1"/>
        <item t="default"/>
      </items>
    </pivotField>
  </pivotFields>
  <rowFields count="1">
    <field x="13"/>
  </rowFields>
  <rowItems count="13">
    <i>
      <x/>
    </i>
    <i>
      <x v="1"/>
    </i>
    <i>
      <x v="2"/>
    </i>
    <i>
      <x v="3"/>
    </i>
    <i>
      <x v="4"/>
    </i>
    <i>
      <x v="5"/>
    </i>
    <i>
      <x v="6"/>
    </i>
    <i>
      <x v="7"/>
    </i>
    <i>
      <x v="8"/>
    </i>
    <i>
      <x v="9"/>
    </i>
    <i>
      <x v="10"/>
    </i>
    <i>
      <x v="11"/>
    </i>
    <i t="grand">
      <x/>
    </i>
  </rowItems>
  <colItems count="1">
    <i/>
  </colItems>
  <dataFields count="1">
    <dataField name="Count of Patient_ID" fld="0" subtotal="count"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7F5CDF-F4D6-4E69-8A06-52CF94F31A4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0:C56" firstHeaderRow="0" firstDataRow="1" firstDataCol="1"/>
  <pivotFields count="14">
    <pivotField dataField="1" showAll="0"/>
    <pivotField showAll="0">
      <items count="3">
        <item x="1"/>
        <item x="0"/>
        <item t="default"/>
      </items>
    </pivotField>
    <pivotField showAll="0"/>
    <pivotField showAll="0"/>
    <pivotField axis="axisRow" showAll="0" sortType="descending">
      <items count="6">
        <item x="2"/>
        <item x="1"/>
        <item x="4"/>
        <item x="0"/>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numFmtId="14" showAll="0"/>
    <pivotField dataField="1" showAll="0"/>
    <pivotField showAll="0"/>
    <pivotField showAll="0"/>
    <pivotField showAll="0">
      <items count="3">
        <item x="0"/>
        <item x="1"/>
        <item t="default"/>
      </items>
    </pivotField>
    <pivotField showAll="0"/>
    <pivotField showAll="0"/>
    <pivotField showAll="0"/>
  </pivotFields>
  <rowFields count="1">
    <field x="4"/>
  </rowFields>
  <rowItems count="6">
    <i>
      <x v="4"/>
    </i>
    <i>
      <x v="3"/>
    </i>
    <i>
      <x v="1"/>
    </i>
    <i>
      <x/>
    </i>
    <i>
      <x v="2"/>
    </i>
    <i t="grand">
      <x/>
    </i>
  </rowItems>
  <colFields count="1">
    <field x="-2"/>
  </colFields>
  <colItems count="2">
    <i>
      <x/>
    </i>
    <i i="1">
      <x v="1"/>
    </i>
  </colItems>
  <dataFields count="2">
    <dataField name="Count of Patient_ID" fld="0" subtotal="count" baseField="4" baseItem="0"/>
    <dataField name="Average of Stay_Days" fld="7" subtotal="average" baseField="4"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7AC35B6-33B4-47D6-8B8C-2CF910D5B56A}" autoFormatId="16" applyNumberFormats="0" applyBorderFormats="0" applyFontFormats="0" applyPatternFormats="0" applyAlignmentFormats="0" applyWidthHeightFormats="0">
  <queryTableRefresh nextId="11">
    <queryTableFields count="10">
      <queryTableField id="1" name="Patient_ID" tableColumnId="1"/>
      <queryTableField id="2" name="Gender" tableColumnId="2"/>
      <queryTableField id="3" name="Age" tableColumnId="3"/>
      <queryTableField id="4" name="Disease" tableColumnId="4"/>
      <queryTableField id="5" name="Doctor" tableColumnId="5"/>
      <queryTableField id="6" name="Hospital" tableColumnId="6"/>
      <queryTableField id="7" name="Admission_Date" tableColumnId="7"/>
      <queryTableField id="8" name="Stay_Days" tableColumnId="8"/>
      <queryTableField id="9" name="Treatment_Cost" tableColumnId="9"/>
      <queryTableField id="10" name="Outcome"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D5F5CD48-FEAB-47A8-BD60-38ABC4EDDB1B}" autoFormatId="16" applyNumberFormats="0" applyBorderFormats="0" applyFontFormats="0" applyPatternFormats="0" applyAlignmentFormats="0" applyWidthHeightFormats="0">
  <queryTableRefresh nextId="15">
    <queryTableFields count="14">
      <queryTableField id="1" name="Patient_ID" tableColumnId="1"/>
      <queryTableField id="2" name="Gender" tableColumnId="2"/>
      <queryTableField id="3" name="Age" tableColumnId="3"/>
      <queryTableField id="4" name="Disease" tableColumnId="4"/>
      <queryTableField id="5" name="Doctor" tableColumnId="5"/>
      <queryTableField id="6" name="Hospital" tableColumnId="6"/>
      <queryTableField id="7" name="Admission_Date" tableColumnId="7"/>
      <queryTableField id="8" name="Stay_Days" tableColumnId="8"/>
      <queryTableField id="9" name="Treatment_Cost" tableColumnId="9"/>
      <queryTableField id="10" name="Outcome" tableColumnId="10"/>
      <queryTableField id="11" name="Year" tableColumnId="11"/>
      <queryTableField id="12" name="Month_Name" tableColumnId="12"/>
      <queryTableField id="13" name="Age_Group" tableColumnId="13"/>
      <queryTableField id="14" name="Month_Numbe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ADB985F-4690-4FC6-85B4-B579DB2C54B4}" sourceName="Gender">
  <pivotTables>
    <pivotTable tabId="4" name="PivotTable2"/>
    <pivotTable tabId="4" name="PivotTable3"/>
    <pivotTable tabId="4" name="PivotTable4"/>
    <pivotTable tabId="4" name="PivotTable5"/>
    <pivotTable tabId="4" name="PivotTable6"/>
    <pivotTable tabId="4" name="PivotTable7"/>
  </pivotTables>
  <data>
    <tabular pivotCacheId="174416061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AEC5C54C-5FAF-4199-8928-89A6B150690E}" sourceName="Doctor">
  <pivotTables>
    <pivotTable tabId="4" name="PivotTable2"/>
    <pivotTable tabId="4" name="PivotTable3"/>
    <pivotTable tabId="4" name="PivotTable4"/>
    <pivotTable tabId="4" name="PivotTable5"/>
    <pivotTable tabId="4" name="PivotTable6"/>
    <pivotTable tabId="4" name="PivotTable7"/>
  </pivotTables>
  <data>
    <tabular pivotCacheId="1744160616">
      <items count="5">
        <i x="2" s="1"/>
        <i x="1" s="1"/>
        <i x="4"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9904445-153B-4C62-92F0-CCE9A203296B}" sourceName="Year">
  <pivotTables>
    <pivotTable tabId="4" name="PivotTable2"/>
    <pivotTable tabId="4" name="PivotTable3"/>
    <pivotTable tabId="4" name="PivotTable4"/>
    <pivotTable tabId="4" name="PivotTable5"/>
    <pivotTable tabId="4" name="PivotTable6"/>
    <pivotTable tabId="4" name="PivotTable7"/>
  </pivotTables>
  <data>
    <tabular pivotCacheId="174416061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 xr10:uid="{AEE707C7-8ACA-4118-87BD-B8E9901022B7}" sourceName="Hospital">
  <pivotTables>
    <pivotTable tabId="4" name="PivotTable2"/>
    <pivotTable tabId="4" name="PivotTable3"/>
    <pivotTable tabId="4" name="PivotTable4"/>
    <pivotTable tabId="4" name="PivotTable5"/>
    <pivotTable tabId="4" name="PivotTable6"/>
    <pivotTable tabId="4" name="PivotTable7"/>
  </pivotTables>
  <data>
    <tabular pivotCacheId="1744160616">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F45905C-DD48-4737-9AEF-1EC75022B487}" cache="Slicer_Gender" caption="Gender" rowHeight="234950"/>
  <slicer name="Doctor" xr10:uid="{BC64F984-5AF5-4DBC-88CF-1CEA98A0529B}" cache="Slicer_Doctor" caption="Doctor" rowHeight="234950"/>
  <slicer name="Year" xr10:uid="{B15DD873-71F5-4A14-8BF0-CC0FD4D60E59}" cache="Slicer_Year" caption="Year" rowHeight="234950"/>
  <slicer name="Hospital" xr10:uid="{3E322614-32C2-4FB1-86B0-26EF5469D5AA}" cache="Slicer_Hospital" caption="Hospita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93DE85F9-D3A6-4C22-87A8-3C05E5837D6C}" cache="Slicer_Gender" caption="Gender" columnCount="2" style="SlicerStyleDark6" rowHeight="457200"/>
  <slicer name="Doctor 1" xr10:uid="{82C36C72-722E-4AB4-A1A1-478841D6C325}" cache="Slicer_Doctor" caption="Doctor" style="SlicerStyleDark6" rowHeight="365760"/>
  <slicer name="Year 1" xr10:uid="{AC9ED5B3-3FA2-442F-B035-4AB562527773}" cache="Slicer_Year" caption="Year" columnCount="2" style="SlicerStyleDark6" rowHeight="457200"/>
  <slicer name="Hospital 1" xr10:uid="{8EF8B7CA-658F-4C84-A14B-FF4005B32BEC}" cache="Slicer_Hospital" caption="Hospital" style="SlicerStyleDark6"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EA5073-3894-4EBE-A639-1A639851C080}" name="healthcare_dataset__2" displayName="healthcare_dataset__2" ref="A1:J1001" tableType="queryTable" totalsRowShown="0">
  <autoFilter ref="A1:J1001" xr:uid="{4FEA5073-3894-4EBE-A639-1A639851C080}"/>
  <tableColumns count="10">
    <tableColumn id="1" xr3:uid="{05CFEF60-D53F-4AC6-9944-5CF9F0A9B0ED}" uniqueName="1" name="Patient_ID" queryTableFieldId="1"/>
    <tableColumn id="2" xr3:uid="{59AC0A5B-D432-4BD4-A3F9-997A183756E6}" uniqueName="2" name="Gender" queryTableFieldId="2" dataDxfId="37"/>
    <tableColumn id="3" xr3:uid="{578F50D6-2FAF-4E08-A903-26951225B3DA}" uniqueName="3" name="Age" queryTableFieldId="3"/>
    <tableColumn id="4" xr3:uid="{B09B5DFE-A6F0-442C-9736-F9466DB20E2C}" uniqueName="4" name="Disease" queryTableFieldId="4" dataDxfId="36"/>
    <tableColumn id="5" xr3:uid="{89D0F542-578A-4D27-8FB1-F5955FE6E75F}" uniqueName="5" name="Doctor" queryTableFieldId="5" dataDxfId="35"/>
    <tableColumn id="6" xr3:uid="{9D515F5E-9272-4C5A-BA7D-30680267E460}" uniqueName="6" name="Hospital" queryTableFieldId="6" dataDxfId="34"/>
    <tableColumn id="7" xr3:uid="{59012B9E-C436-4AB8-A501-70090E39912B}" uniqueName="7" name="Admission_Date" queryTableFieldId="7" dataDxfId="33"/>
    <tableColumn id="8" xr3:uid="{8D111972-FA1D-4D98-9FD4-2DD50978E5AD}" uniqueName="8" name="Stay_Days" queryTableFieldId="8"/>
    <tableColumn id="9" xr3:uid="{104B29E0-253B-4DC1-B6B0-E07BE6D4898F}" uniqueName="9" name="Treatment_Cost" queryTableFieldId="9"/>
    <tableColumn id="10" xr3:uid="{66311AD9-85A5-4FB0-BDE9-291DB94124FC}" uniqueName="10" name="Outcome" queryTableFieldId="10" dataDxfId="3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319032-1CD6-41B8-B0E1-FB970B1FC879}" name="HealthcareData" displayName="HealthcareData" ref="A1:N1001" tableType="queryTable" totalsRowShown="0">
  <autoFilter ref="A1:N1001" xr:uid="{AD319032-1CD6-41B8-B0E1-FB970B1FC879}"/>
  <tableColumns count="14">
    <tableColumn id="1" xr3:uid="{C5565E91-2235-4B6D-A76C-2B01184A806C}" uniqueName="1" name="Patient_ID" queryTableFieldId="1"/>
    <tableColumn id="2" xr3:uid="{F5A63F67-BD49-4E56-A50A-24F4C30098D6}" uniqueName="2" name="Gender" queryTableFieldId="2" dataDxfId="31"/>
    <tableColumn id="3" xr3:uid="{B4DAAD38-343F-4356-9382-3182F22C99E2}" uniqueName="3" name="Age" queryTableFieldId="3"/>
    <tableColumn id="4" xr3:uid="{C4F792E9-E070-474B-9654-4696F5479292}" uniqueName="4" name="Disease" queryTableFieldId="4" dataDxfId="30"/>
    <tableColumn id="5" xr3:uid="{EFC44E08-18C8-42D9-9C61-4A7E238FA8A5}" uniqueName="5" name="Doctor" queryTableFieldId="5" dataDxfId="29"/>
    <tableColumn id="6" xr3:uid="{8775325D-6D4C-48A9-8207-9590B9804D34}" uniqueName="6" name="Hospital" queryTableFieldId="6" dataDxfId="28"/>
    <tableColumn id="7" xr3:uid="{234C970A-45DE-4BAA-AF58-6D3B8616F85A}" uniqueName="7" name="Admission_Date" queryTableFieldId="7" dataDxfId="27"/>
    <tableColumn id="8" xr3:uid="{5E1A3BE3-14FC-4A70-A121-6FF0475998C2}" uniqueName="8" name="Stay_Days" queryTableFieldId="8"/>
    <tableColumn id="9" xr3:uid="{0A49BC5B-D4E4-4023-AAD0-E9A9FEA8D574}" uniqueName="9" name="Treatment_Cost" queryTableFieldId="9"/>
    <tableColumn id="10" xr3:uid="{4C68FF4E-031F-431D-9BB2-631B38BB205A}" uniqueName="10" name="Outcome" queryTableFieldId="10" dataDxfId="26"/>
    <tableColumn id="11" xr3:uid="{669E1085-B9A6-4747-BFC3-62DCD000912F}" uniqueName="11" name="Year" queryTableFieldId="11"/>
    <tableColumn id="12" xr3:uid="{418DA1D1-D705-4595-A12A-1D9D9E3F9698}" uniqueName="12" name="Month_Name" queryTableFieldId="12"/>
    <tableColumn id="13" xr3:uid="{A3C1CAD2-9E2C-48E6-A6E2-9FD20552A2A0}" uniqueName="13" name="Age_Group" queryTableFieldId="13"/>
    <tableColumn id="14" xr3:uid="{BD9ECC29-0BD5-400F-82BC-D533BE95DDA1}" uniqueName="14" name="Month_Number" queryTableFieldId="14"/>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D938D-4E7E-4C66-85B2-890DF4D27010}">
  <dimension ref="A1:J1001"/>
  <sheetViews>
    <sheetView workbookViewId="0">
      <selection sqref="A1:J1"/>
    </sheetView>
  </sheetViews>
  <sheetFormatPr defaultRowHeight="15" x14ac:dyDescent="0.25"/>
  <cols>
    <col min="1" max="1" width="12" bestFit="1" customWidth="1"/>
    <col min="2" max="2" width="9.28515625" bestFit="1" customWidth="1"/>
    <col min="3" max="3" width="6.42578125" bestFit="1" customWidth="1"/>
    <col min="4" max="4" width="12.28515625" bestFit="1" customWidth="1"/>
    <col min="5" max="5" width="10" bestFit="1" customWidth="1"/>
    <col min="6" max="6" width="13.7109375" bestFit="1" customWidth="1"/>
    <col min="7" max="7" width="16.85546875" bestFit="1" customWidth="1"/>
    <col min="8" max="8" width="11.85546875" bestFit="1" customWidth="1"/>
    <col min="9" max="9" width="16.7109375" bestFit="1" customWidth="1"/>
    <col min="10" max="10" width="15.140625" bestFit="1" customWidth="1"/>
  </cols>
  <sheetData>
    <row r="1" spans="1:10" x14ac:dyDescent="0.25">
      <c r="A1" t="s">
        <v>0</v>
      </c>
      <c r="B1" t="s">
        <v>1</v>
      </c>
      <c r="C1" t="s">
        <v>2</v>
      </c>
      <c r="D1" t="s">
        <v>3</v>
      </c>
      <c r="E1" t="s">
        <v>4</v>
      </c>
      <c r="F1" t="s">
        <v>5</v>
      </c>
      <c r="G1" t="s">
        <v>6</v>
      </c>
      <c r="H1" t="s">
        <v>7</v>
      </c>
      <c r="I1" t="s">
        <v>8</v>
      </c>
      <c r="J1" t="s">
        <v>9</v>
      </c>
    </row>
    <row r="2" spans="1:10" x14ac:dyDescent="0.25">
      <c r="A2">
        <v>1</v>
      </c>
      <c r="B2" s="1" t="s">
        <v>13</v>
      </c>
      <c r="C2">
        <v>63</v>
      </c>
      <c r="D2" s="1" t="s">
        <v>14</v>
      </c>
      <c r="E2" s="1" t="s">
        <v>15</v>
      </c>
      <c r="F2" s="1" t="s">
        <v>16</v>
      </c>
      <c r="G2" s="2">
        <v>45257</v>
      </c>
      <c r="H2">
        <v>8</v>
      </c>
      <c r="I2">
        <v>22566</v>
      </c>
      <c r="J2" s="1" t="s">
        <v>17</v>
      </c>
    </row>
    <row r="3" spans="1:10" x14ac:dyDescent="0.25">
      <c r="A3">
        <v>2</v>
      </c>
      <c r="B3" s="1" t="s">
        <v>20</v>
      </c>
      <c r="C3">
        <v>17</v>
      </c>
      <c r="D3" s="1" t="s">
        <v>21</v>
      </c>
      <c r="E3" s="1" t="s">
        <v>22</v>
      </c>
      <c r="F3" s="1" t="s">
        <v>23</v>
      </c>
      <c r="G3" s="2">
        <v>45239</v>
      </c>
      <c r="H3">
        <v>4</v>
      </c>
      <c r="I3">
        <v>4230</v>
      </c>
      <c r="J3" s="1" t="s">
        <v>24</v>
      </c>
    </row>
    <row r="4" spans="1:10" x14ac:dyDescent="0.25">
      <c r="A4">
        <v>3</v>
      </c>
      <c r="B4" s="1" t="s">
        <v>13</v>
      </c>
      <c r="C4">
        <v>73</v>
      </c>
      <c r="D4" s="1" t="s">
        <v>21</v>
      </c>
      <c r="E4" s="1" t="s">
        <v>22</v>
      </c>
      <c r="F4" s="1" t="s">
        <v>23</v>
      </c>
      <c r="G4" s="2">
        <v>45272</v>
      </c>
      <c r="H4">
        <v>12</v>
      </c>
      <c r="I4">
        <v>8511</v>
      </c>
      <c r="J4" s="1" t="s">
        <v>24</v>
      </c>
    </row>
    <row r="5" spans="1:10" x14ac:dyDescent="0.25">
      <c r="A5">
        <v>4</v>
      </c>
      <c r="B5" s="1" t="s">
        <v>13</v>
      </c>
      <c r="C5">
        <v>33</v>
      </c>
      <c r="D5" s="1" t="s">
        <v>21</v>
      </c>
      <c r="E5" s="1" t="s">
        <v>27</v>
      </c>
      <c r="F5" s="1" t="s">
        <v>28</v>
      </c>
      <c r="G5" s="2">
        <v>45243</v>
      </c>
      <c r="H5">
        <v>1</v>
      </c>
      <c r="I5">
        <v>44229</v>
      </c>
      <c r="J5" s="1" t="s">
        <v>24</v>
      </c>
    </row>
    <row r="6" spans="1:10" x14ac:dyDescent="0.25">
      <c r="A6">
        <v>5</v>
      </c>
      <c r="B6" s="1" t="s">
        <v>13</v>
      </c>
      <c r="C6">
        <v>84</v>
      </c>
      <c r="D6" s="1" t="s">
        <v>30</v>
      </c>
      <c r="E6" s="1" t="s">
        <v>31</v>
      </c>
      <c r="F6" s="1" t="s">
        <v>23</v>
      </c>
      <c r="G6" s="2">
        <v>45287</v>
      </c>
      <c r="H6">
        <v>7</v>
      </c>
      <c r="I6">
        <v>28177</v>
      </c>
      <c r="J6" s="1" t="s">
        <v>24</v>
      </c>
    </row>
    <row r="7" spans="1:10" x14ac:dyDescent="0.25">
      <c r="A7">
        <v>6</v>
      </c>
      <c r="B7" s="1" t="s">
        <v>20</v>
      </c>
      <c r="C7">
        <v>77</v>
      </c>
      <c r="D7" s="1" t="s">
        <v>14</v>
      </c>
      <c r="E7" s="1" t="s">
        <v>15</v>
      </c>
      <c r="F7" s="1" t="s">
        <v>32</v>
      </c>
      <c r="G7" s="2">
        <v>45023</v>
      </c>
      <c r="H7">
        <v>3</v>
      </c>
      <c r="I7">
        <v>6765</v>
      </c>
      <c r="J7" s="1" t="s">
        <v>24</v>
      </c>
    </row>
    <row r="8" spans="1:10" x14ac:dyDescent="0.25">
      <c r="A8">
        <v>7</v>
      </c>
      <c r="B8" s="1" t="s">
        <v>13</v>
      </c>
      <c r="C8">
        <v>29</v>
      </c>
      <c r="D8" s="1" t="s">
        <v>34</v>
      </c>
      <c r="E8" s="1" t="s">
        <v>27</v>
      </c>
      <c r="F8" s="1" t="s">
        <v>28</v>
      </c>
      <c r="G8" s="2">
        <v>45275</v>
      </c>
      <c r="H8">
        <v>14</v>
      </c>
      <c r="I8">
        <v>22354</v>
      </c>
      <c r="J8" s="1" t="s">
        <v>24</v>
      </c>
    </row>
    <row r="9" spans="1:10" x14ac:dyDescent="0.25">
      <c r="A9">
        <v>8</v>
      </c>
      <c r="B9" s="1" t="s">
        <v>13</v>
      </c>
      <c r="C9">
        <v>13</v>
      </c>
      <c r="D9" s="1" t="s">
        <v>34</v>
      </c>
      <c r="E9" s="1" t="s">
        <v>35</v>
      </c>
      <c r="F9" s="1" t="s">
        <v>23</v>
      </c>
      <c r="G9" s="2">
        <v>45114</v>
      </c>
      <c r="H9">
        <v>6</v>
      </c>
      <c r="I9">
        <v>25929</v>
      </c>
      <c r="J9" s="1" t="s">
        <v>24</v>
      </c>
    </row>
    <row r="10" spans="1:10" x14ac:dyDescent="0.25">
      <c r="A10">
        <v>9</v>
      </c>
      <c r="B10" s="1" t="s">
        <v>13</v>
      </c>
      <c r="C10">
        <v>46</v>
      </c>
      <c r="D10" s="1" t="s">
        <v>37</v>
      </c>
      <c r="E10" s="1" t="s">
        <v>35</v>
      </c>
      <c r="F10" s="1" t="s">
        <v>32</v>
      </c>
      <c r="G10" s="2">
        <v>45273</v>
      </c>
      <c r="H10">
        <v>2</v>
      </c>
      <c r="I10">
        <v>30820</v>
      </c>
      <c r="J10" s="1" t="s">
        <v>24</v>
      </c>
    </row>
    <row r="11" spans="1:10" x14ac:dyDescent="0.25">
      <c r="A11">
        <v>10</v>
      </c>
      <c r="B11" s="1" t="s">
        <v>20</v>
      </c>
      <c r="C11">
        <v>35</v>
      </c>
      <c r="D11" s="1" t="s">
        <v>37</v>
      </c>
      <c r="E11" s="1" t="s">
        <v>15</v>
      </c>
      <c r="F11" s="1" t="s">
        <v>23</v>
      </c>
      <c r="G11" s="2">
        <v>45287</v>
      </c>
      <c r="H11">
        <v>9</v>
      </c>
      <c r="I11">
        <v>48040</v>
      </c>
      <c r="J11" s="1" t="s">
        <v>24</v>
      </c>
    </row>
    <row r="12" spans="1:10" x14ac:dyDescent="0.25">
      <c r="A12">
        <v>11</v>
      </c>
      <c r="B12" s="1" t="s">
        <v>13</v>
      </c>
      <c r="C12">
        <v>6</v>
      </c>
      <c r="D12" s="1" t="s">
        <v>37</v>
      </c>
      <c r="E12" s="1" t="s">
        <v>31</v>
      </c>
      <c r="F12" s="1" t="s">
        <v>23</v>
      </c>
      <c r="G12" s="2">
        <v>45286</v>
      </c>
      <c r="H12">
        <v>1</v>
      </c>
      <c r="I12">
        <v>31523</v>
      </c>
      <c r="J12" s="1" t="s">
        <v>39</v>
      </c>
    </row>
    <row r="13" spans="1:10" x14ac:dyDescent="0.25">
      <c r="A13">
        <v>12</v>
      </c>
      <c r="B13" s="1" t="s">
        <v>13</v>
      </c>
      <c r="C13">
        <v>82</v>
      </c>
      <c r="D13" s="1" t="s">
        <v>21</v>
      </c>
      <c r="E13" s="1" t="s">
        <v>27</v>
      </c>
      <c r="F13" s="1" t="s">
        <v>16</v>
      </c>
      <c r="G13" s="2">
        <v>45093</v>
      </c>
      <c r="H13">
        <v>6</v>
      </c>
      <c r="I13">
        <v>7552</v>
      </c>
      <c r="J13" s="1" t="s">
        <v>24</v>
      </c>
    </row>
    <row r="14" spans="1:10" x14ac:dyDescent="0.25">
      <c r="A14">
        <v>13</v>
      </c>
      <c r="B14" s="1" t="s">
        <v>13</v>
      </c>
      <c r="C14">
        <v>69</v>
      </c>
      <c r="D14" s="1" t="s">
        <v>34</v>
      </c>
      <c r="E14" s="1" t="s">
        <v>22</v>
      </c>
      <c r="F14" s="1" t="s">
        <v>23</v>
      </c>
      <c r="G14" s="2">
        <v>45202</v>
      </c>
      <c r="H14">
        <v>6</v>
      </c>
      <c r="I14">
        <v>2627</v>
      </c>
      <c r="J14" s="1" t="s">
        <v>24</v>
      </c>
    </row>
    <row r="15" spans="1:10" x14ac:dyDescent="0.25">
      <c r="A15">
        <v>14</v>
      </c>
      <c r="B15" s="1" t="s">
        <v>13</v>
      </c>
      <c r="C15">
        <v>47</v>
      </c>
      <c r="D15" s="1" t="s">
        <v>14</v>
      </c>
      <c r="E15" s="1" t="s">
        <v>15</v>
      </c>
      <c r="F15" s="1" t="s">
        <v>23</v>
      </c>
      <c r="G15" s="2">
        <v>45290</v>
      </c>
      <c r="H15">
        <v>5</v>
      </c>
      <c r="I15">
        <v>13989</v>
      </c>
      <c r="J15" s="1" t="s">
        <v>24</v>
      </c>
    </row>
    <row r="16" spans="1:10" x14ac:dyDescent="0.25">
      <c r="A16">
        <v>15</v>
      </c>
      <c r="B16" s="1" t="s">
        <v>20</v>
      </c>
      <c r="C16">
        <v>25</v>
      </c>
      <c r="D16" s="1" t="s">
        <v>21</v>
      </c>
      <c r="E16" s="1" t="s">
        <v>31</v>
      </c>
      <c r="F16" s="1" t="s">
        <v>32</v>
      </c>
      <c r="G16" s="2">
        <v>45050</v>
      </c>
      <c r="H16">
        <v>13</v>
      </c>
      <c r="I16">
        <v>15780</v>
      </c>
      <c r="J16" s="1" t="s">
        <v>39</v>
      </c>
    </row>
    <row r="17" spans="1:10" x14ac:dyDescent="0.25">
      <c r="A17">
        <v>16</v>
      </c>
      <c r="B17" s="1" t="s">
        <v>13</v>
      </c>
      <c r="C17">
        <v>66</v>
      </c>
      <c r="D17" s="1" t="s">
        <v>30</v>
      </c>
      <c r="E17" s="1" t="s">
        <v>22</v>
      </c>
      <c r="F17" s="1" t="s">
        <v>32</v>
      </c>
      <c r="G17" s="2">
        <v>45009</v>
      </c>
      <c r="H17">
        <v>5</v>
      </c>
      <c r="I17">
        <v>8589</v>
      </c>
      <c r="J17" s="1" t="s">
        <v>24</v>
      </c>
    </row>
    <row r="18" spans="1:10" x14ac:dyDescent="0.25">
      <c r="A18">
        <v>17</v>
      </c>
      <c r="B18" s="1" t="s">
        <v>20</v>
      </c>
      <c r="C18">
        <v>10</v>
      </c>
      <c r="D18" s="1" t="s">
        <v>37</v>
      </c>
      <c r="E18" s="1" t="s">
        <v>35</v>
      </c>
      <c r="F18" s="1" t="s">
        <v>16</v>
      </c>
      <c r="G18" s="2">
        <v>45183</v>
      </c>
      <c r="H18">
        <v>1</v>
      </c>
      <c r="I18">
        <v>36812</v>
      </c>
      <c r="J18" s="1" t="s">
        <v>24</v>
      </c>
    </row>
    <row r="19" spans="1:10" x14ac:dyDescent="0.25">
      <c r="A19">
        <v>18</v>
      </c>
      <c r="B19" s="1" t="s">
        <v>20</v>
      </c>
      <c r="C19">
        <v>56</v>
      </c>
      <c r="D19" s="1" t="s">
        <v>21</v>
      </c>
      <c r="E19" s="1" t="s">
        <v>35</v>
      </c>
      <c r="F19" s="1" t="s">
        <v>23</v>
      </c>
      <c r="G19" s="2">
        <v>45135</v>
      </c>
      <c r="H19">
        <v>10</v>
      </c>
      <c r="I19">
        <v>30128</v>
      </c>
      <c r="J19" s="1" t="s">
        <v>17</v>
      </c>
    </row>
    <row r="20" spans="1:10" x14ac:dyDescent="0.25">
      <c r="A20">
        <v>19</v>
      </c>
      <c r="B20" s="1" t="s">
        <v>20</v>
      </c>
      <c r="C20">
        <v>30</v>
      </c>
      <c r="D20" s="1" t="s">
        <v>21</v>
      </c>
      <c r="E20" s="1" t="s">
        <v>22</v>
      </c>
      <c r="F20" s="1" t="s">
        <v>16</v>
      </c>
      <c r="G20" s="2">
        <v>45179</v>
      </c>
      <c r="H20">
        <v>12</v>
      </c>
      <c r="I20">
        <v>47939</v>
      </c>
      <c r="J20" s="1" t="s">
        <v>39</v>
      </c>
    </row>
    <row r="21" spans="1:10" x14ac:dyDescent="0.25">
      <c r="A21">
        <v>20</v>
      </c>
      <c r="B21" s="1" t="s">
        <v>13</v>
      </c>
      <c r="C21">
        <v>5</v>
      </c>
      <c r="D21" s="1" t="s">
        <v>30</v>
      </c>
      <c r="E21" s="1" t="s">
        <v>15</v>
      </c>
      <c r="F21" s="1" t="s">
        <v>23</v>
      </c>
      <c r="G21" s="2">
        <v>45211</v>
      </c>
      <c r="H21">
        <v>5</v>
      </c>
      <c r="I21">
        <v>40652</v>
      </c>
      <c r="J21" s="1" t="s">
        <v>24</v>
      </c>
    </row>
    <row r="22" spans="1:10" x14ac:dyDescent="0.25">
      <c r="A22">
        <v>21</v>
      </c>
      <c r="B22" s="1" t="s">
        <v>20</v>
      </c>
      <c r="C22">
        <v>33</v>
      </c>
      <c r="D22" s="1" t="s">
        <v>45</v>
      </c>
      <c r="E22" s="1" t="s">
        <v>35</v>
      </c>
      <c r="F22" s="1" t="s">
        <v>28</v>
      </c>
      <c r="G22" s="2">
        <v>45281</v>
      </c>
      <c r="H22">
        <v>2</v>
      </c>
      <c r="I22">
        <v>29790</v>
      </c>
      <c r="J22" s="1" t="s">
        <v>24</v>
      </c>
    </row>
    <row r="23" spans="1:10" x14ac:dyDescent="0.25">
      <c r="A23">
        <v>22</v>
      </c>
      <c r="B23" s="1" t="s">
        <v>13</v>
      </c>
      <c r="C23">
        <v>65</v>
      </c>
      <c r="D23" s="1" t="s">
        <v>34</v>
      </c>
      <c r="E23" s="1" t="s">
        <v>27</v>
      </c>
      <c r="F23" s="1" t="s">
        <v>28</v>
      </c>
      <c r="G23" s="2">
        <v>44996</v>
      </c>
      <c r="H23">
        <v>7</v>
      </c>
      <c r="I23">
        <v>42953</v>
      </c>
      <c r="J23" s="1" t="s">
        <v>39</v>
      </c>
    </row>
    <row r="24" spans="1:10" x14ac:dyDescent="0.25">
      <c r="A24">
        <v>23</v>
      </c>
      <c r="B24" s="1" t="s">
        <v>20</v>
      </c>
      <c r="C24">
        <v>18</v>
      </c>
      <c r="D24" s="1" t="s">
        <v>14</v>
      </c>
      <c r="E24" s="1" t="s">
        <v>22</v>
      </c>
      <c r="F24" s="1" t="s">
        <v>16</v>
      </c>
      <c r="G24" s="2">
        <v>45091</v>
      </c>
      <c r="H24">
        <v>3</v>
      </c>
      <c r="I24">
        <v>2249</v>
      </c>
      <c r="J24" s="1" t="s">
        <v>24</v>
      </c>
    </row>
    <row r="25" spans="1:10" x14ac:dyDescent="0.25">
      <c r="A25">
        <v>24</v>
      </c>
      <c r="B25" s="1" t="s">
        <v>20</v>
      </c>
      <c r="C25">
        <v>49</v>
      </c>
      <c r="D25" s="1" t="s">
        <v>45</v>
      </c>
      <c r="E25" s="1" t="s">
        <v>22</v>
      </c>
      <c r="F25" s="1" t="s">
        <v>16</v>
      </c>
      <c r="G25" s="2">
        <v>45045</v>
      </c>
      <c r="H25">
        <v>13</v>
      </c>
      <c r="I25">
        <v>21309</v>
      </c>
      <c r="J25" s="1" t="s">
        <v>24</v>
      </c>
    </row>
    <row r="26" spans="1:10" x14ac:dyDescent="0.25">
      <c r="A26">
        <v>25</v>
      </c>
      <c r="B26" s="1" t="s">
        <v>20</v>
      </c>
      <c r="C26">
        <v>11</v>
      </c>
      <c r="D26" s="1" t="s">
        <v>37</v>
      </c>
      <c r="E26" s="1" t="s">
        <v>35</v>
      </c>
      <c r="F26" s="1" t="s">
        <v>16</v>
      </c>
      <c r="G26" s="2">
        <v>45010</v>
      </c>
      <c r="H26">
        <v>4</v>
      </c>
      <c r="I26">
        <v>27901</v>
      </c>
      <c r="J26" s="1" t="s">
        <v>24</v>
      </c>
    </row>
    <row r="27" spans="1:10" x14ac:dyDescent="0.25">
      <c r="A27">
        <v>26</v>
      </c>
      <c r="B27" s="1" t="s">
        <v>20</v>
      </c>
      <c r="C27">
        <v>85</v>
      </c>
      <c r="D27" s="1" t="s">
        <v>21</v>
      </c>
      <c r="E27" s="1" t="s">
        <v>15</v>
      </c>
      <c r="F27" s="1" t="s">
        <v>32</v>
      </c>
      <c r="G27" s="2">
        <v>45011</v>
      </c>
      <c r="H27">
        <v>3</v>
      </c>
      <c r="I27">
        <v>25576</v>
      </c>
      <c r="J27" s="1" t="s">
        <v>39</v>
      </c>
    </row>
    <row r="28" spans="1:10" x14ac:dyDescent="0.25">
      <c r="A28">
        <v>27</v>
      </c>
      <c r="B28" s="1" t="s">
        <v>20</v>
      </c>
      <c r="C28">
        <v>26</v>
      </c>
      <c r="D28" s="1" t="s">
        <v>30</v>
      </c>
      <c r="E28" s="1" t="s">
        <v>27</v>
      </c>
      <c r="F28" s="1" t="s">
        <v>32</v>
      </c>
      <c r="G28" s="2">
        <v>45124</v>
      </c>
      <c r="H28">
        <v>3</v>
      </c>
      <c r="I28">
        <v>33508</v>
      </c>
      <c r="J28" s="1" t="s">
        <v>24</v>
      </c>
    </row>
    <row r="29" spans="1:10" x14ac:dyDescent="0.25">
      <c r="A29">
        <v>28</v>
      </c>
      <c r="B29" s="1" t="s">
        <v>20</v>
      </c>
      <c r="C29">
        <v>63</v>
      </c>
      <c r="D29" s="1" t="s">
        <v>30</v>
      </c>
      <c r="E29" s="1" t="s">
        <v>15</v>
      </c>
      <c r="F29" s="1" t="s">
        <v>32</v>
      </c>
      <c r="G29" s="2">
        <v>45106</v>
      </c>
      <c r="H29">
        <v>4</v>
      </c>
      <c r="I29">
        <v>11175</v>
      </c>
      <c r="J29" s="1" t="s">
        <v>39</v>
      </c>
    </row>
    <row r="30" spans="1:10" x14ac:dyDescent="0.25">
      <c r="A30">
        <v>29</v>
      </c>
      <c r="B30" s="1" t="s">
        <v>20</v>
      </c>
      <c r="C30">
        <v>89</v>
      </c>
      <c r="D30" s="1" t="s">
        <v>34</v>
      </c>
      <c r="E30" s="1" t="s">
        <v>31</v>
      </c>
      <c r="F30" s="1" t="s">
        <v>16</v>
      </c>
      <c r="G30" s="2">
        <v>44964</v>
      </c>
      <c r="H30">
        <v>5</v>
      </c>
      <c r="I30">
        <v>27464</v>
      </c>
      <c r="J30" s="1" t="s">
        <v>24</v>
      </c>
    </row>
    <row r="31" spans="1:10" x14ac:dyDescent="0.25">
      <c r="A31">
        <v>30</v>
      </c>
      <c r="B31" s="1" t="s">
        <v>20</v>
      </c>
      <c r="C31">
        <v>86</v>
      </c>
      <c r="D31" s="1" t="s">
        <v>45</v>
      </c>
      <c r="E31" s="1" t="s">
        <v>31</v>
      </c>
      <c r="F31" s="1" t="s">
        <v>23</v>
      </c>
      <c r="G31" s="2">
        <v>45179</v>
      </c>
      <c r="H31">
        <v>1</v>
      </c>
      <c r="I31">
        <v>18260</v>
      </c>
      <c r="J31" s="1" t="s">
        <v>24</v>
      </c>
    </row>
    <row r="32" spans="1:10" x14ac:dyDescent="0.25">
      <c r="A32">
        <v>31</v>
      </c>
      <c r="B32" s="1" t="s">
        <v>13</v>
      </c>
      <c r="C32">
        <v>59</v>
      </c>
      <c r="D32" s="1" t="s">
        <v>34</v>
      </c>
      <c r="E32" s="1" t="s">
        <v>35</v>
      </c>
      <c r="F32" s="1" t="s">
        <v>28</v>
      </c>
      <c r="G32" s="2">
        <v>45146</v>
      </c>
      <c r="H32">
        <v>4</v>
      </c>
      <c r="I32">
        <v>37440</v>
      </c>
      <c r="J32" s="1" t="s">
        <v>24</v>
      </c>
    </row>
    <row r="33" spans="1:10" x14ac:dyDescent="0.25">
      <c r="A33">
        <v>32</v>
      </c>
      <c r="B33" s="1" t="s">
        <v>13</v>
      </c>
      <c r="C33">
        <v>27</v>
      </c>
      <c r="D33" s="1" t="s">
        <v>21</v>
      </c>
      <c r="E33" s="1" t="s">
        <v>35</v>
      </c>
      <c r="F33" s="1" t="s">
        <v>16</v>
      </c>
      <c r="G33" s="2">
        <v>44929</v>
      </c>
      <c r="H33">
        <v>12</v>
      </c>
      <c r="I33">
        <v>31546</v>
      </c>
      <c r="J33" s="1" t="s">
        <v>24</v>
      </c>
    </row>
    <row r="34" spans="1:10" x14ac:dyDescent="0.25">
      <c r="A34">
        <v>33</v>
      </c>
      <c r="B34" s="1" t="s">
        <v>20</v>
      </c>
      <c r="C34">
        <v>49</v>
      </c>
      <c r="D34" s="1" t="s">
        <v>34</v>
      </c>
      <c r="E34" s="1" t="s">
        <v>35</v>
      </c>
      <c r="F34" s="1" t="s">
        <v>32</v>
      </c>
      <c r="G34" s="2">
        <v>45264</v>
      </c>
      <c r="H34">
        <v>12</v>
      </c>
      <c r="I34">
        <v>42047</v>
      </c>
      <c r="J34" s="1" t="s">
        <v>17</v>
      </c>
    </row>
    <row r="35" spans="1:10" x14ac:dyDescent="0.25">
      <c r="A35">
        <v>34</v>
      </c>
      <c r="B35" s="1" t="s">
        <v>20</v>
      </c>
      <c r="C35">
        <v>77</v>
      </c>
      <c r="D35" s="1" t="s">
        <v>14</v>
      </c>
      <c r="E35" s="1" t="s">
        <v>31</v>
      </c>
      <c r="F35" s="1" t="s">
        <v>32</v>
      </c>
      <c r="G35" s="2">
        <v>44976</v>
      </c>
      <c r="H35">
        <v>11</v>
      </c>
      <c r="I35">
        <v>43430</v>
      </c>
      <c r="J35" s="1" t="s">
        <v>39</v>
      </c>
    </row>
    <row r="36" spans="1:10" x14ac:dyDescent="0.25">
      <c r="A36">
        <v>35</v>
      </c>
      <c r="B36" s="1" t="s">
        <v>20</v>
      </c>
      <c r="C36">
        <v>33</v>
      </c>
      <c r="D36" s="1" t="s">
        <v>30</v>
      </c>
      <c r="E36" s="1" t="s">
        <v>15</v>
      </c>
      <c r="F36" s="1" t="s">
        <v>16</v>
      </c>
      <c r="G36" s="2">
        <v>45134</v>
      </c>
      <c r="H36">
        <v>8</v>
      </c>
      <c r="I36">
        <v>3987</v>
      </c>
      <c r="J36" s="1" t="s">
        <v>24</v>
      </c>
    </row>
    <row r="37" spans="1:10" x14ac:dyDescent="0.25">
      <c r="A37">
        <v>36</v>
      </c>
      <c r="B37" s="1" t="s">
        <v>13</v>
      </c>
      <c r="C37">
        <v>1</v>
      </c>
      <c r="D37" s="1" t="s">
        <v>30</v>
      </c>
      <c r="E37" s="1" t="s">
        <v>15</v>
      </c>
      <c r="F37" s="1" t="s">
        <v>16</v>
      </c>
      <c r="G37" s="2">
        <v>45132</v>
      </c>
      <c r="H37">
        <v>10</v>
      </c>
      <c r="I37">
        <v>27105</v>
      </c>
      <c r="J37" s="1" t="s">
        <v>24</v>
      </c>
    </row>
    <row r="38" spans="1:10" x14ac:dyDescent="0.25">
      <c r="A38">
        <v>37</v>
      </c>
      <c r="B38" s="1" t="s">
        <v>20</v>
      </c>
      <c r="C38">
        <v>21</v>
      </c>
      <c r="D38" s="1" t="s">
        <v>37</v>
      </c>
      <c r="E38" s="1" t="s">
        <v>35</v>
      </c>
      <c r="F38" s="1" t="s">
        <v>32</v>
      </c>
      <c r="G38" s="2">
        <v>45224</v>
      </c>
      <c r="H38">
        <v>7</v>
      </c>
      <c r="I38">
        <v>14948</v>
      </c>
      <c r="J38" s="1" t="s">
        <v>24</v>
      </c>
    </row>
    <row r="39" spans="1:10" x14ac:dyDescent="0.25">
      <c r="A39">
        <v>38</v>
      </c>
      <c r="B39" s="1" t="s">
        <v>13</v>
      </c>
      <c r="C39">
        <v>55</v>
      </c>
      <c r="D39" s="1" t="s">
        <v>37</v>
      </c>
      <c r="E39" s="1" t="s">
        <v>27</v>
      </c>
      <c r="F39" s="1" t="s">
        <v>23</v>
      </c>
      <c r="G39" s="2">
        <v>45096</v>
      </c>
      <c r="H39">
        <v>9</v>
      </c>
      <c r="I39">
        <v>15026</v>
      </c>
      <c r="J39" s="1" t="s">
        <v>24</v>
      </c>
    </row>
    <row r="40" spans="1:10" x14ac:dyDescent="0.25">
      <c r="A40">
        <v>39</v>
      </c>
      <c r="B40" s="1" t="s">
        <v>13</v>
      </c>
      <c r="C40">
        <v>6</v>
      </c>
      <c r="D40" s="1" t="s">
        <v>21</v>
      </c>
      <c r="E40" s="1" t="s">
        <v>15</v>
      </c>
      <c r="F40" s="1" t="s">
        <v>32</v>
      </c>
      <c r="G40" s="2">
        <v>45290</v>
      </c>
      <c r="H40">
        <v>5</v>
      </c>
      <c r="I40">
        <v>4773</v>
      </c>
      <c r="J40" s="1" t="s">
        <v>24</v>
      </c>
    </row>
    <row r="41" spans="1:10" x14ac:dyDescent="0.25">
      <c r="A41">
        <v>40</v>
      </c>
      <c r="B41" s="1" t="s">
        <v>13</v>
      </c>
      <c r="C41">
        <v>81</v>
      </c>
      <c r="D41" s="1" t="s">
        <v>14</v>
      </c>
      <c r="E41" s="1" t="s">
        <v>31</v>
      </c>
      <c r="F41" s="1" t="s">
        <v>32</v>
      </c>
      <c r="G41" s="2">
        <v>44958</v>
      </c>
      <c r="H41">
        <v>13</v>
      </c>
      <c r="I41">
        <v>47927</v>
      </c>
      <c r="J41" s="1" t="s">
        <v>24</v>
      </c>
    </row>
    <row r="42" spans="1:10" x14ac:dyDescent="0.25">
      <c r="A42">
        <v>41</v>
      </c>
      <c r="B42" s="1" t="s">
        <v>13</v>
      </c>
      <c r="C42">
        <v>69</v>
      </c>
      <c r="D42" s="1" t="s">
        <v>45</v>
      </c>
      <c r="E42" s="1" t="s">
        <v>22</v>
      </c>
      <c r="F42" s="1" t="s">
        <v>16</v>
      </c>
      <c r="G42" s="2">
        <v>45207</v>
      </c>
      <c r="H42">
        <v>10</v>
      </c>
      <c r="I42">
        <v>11878</v>
      </c>
      <c r="J42" s="1" t="s">
        <v>24</v>
      </c>
    </row>
    <row r="43" spans="1:10" x14ac:dyDescent="0.25">
      <c r="A43">
        <v>42</v>
      </c>
      <c r="B43" s="1" t="s">
        <v>13</v>
      </c>
      <c r="C43">
        <v>5</v>
      </c>
      <c r="D43" s="1" t="s">
        <v>34</v>
      </c>
      <c r="E43" s="1" t="s">
        <v>22</v>
      </c>
      <c r="F43" s="1" t="s">
        <v>23</v>
      </c>
      <c r="G43" s="2">
        <v>45161</v>
      </c>
      <c r="H43">
        <v>4</v>
      </c>
      <c r="I43">
        <v>44946</v>
      </c>
      <c r="J43" s="1" t="s">
        <v>39</v>
      </c>
    </row>
    <row r="44" spans="1:10" x14ac:dyDescent="0.25">
      <c r="A44">
        <v>43</v>
      </c>
      <c r="B44" s="1" t="s">
        <v>20</v>
      </c>
      <c r="C44">
        <v>3</v>
      </c>
      <c r="D44" s="1" t="s">
        <v>21</v>
      </c>
      <c r="E44" s="1" t="s">
        <v>22</v>
      </c>
      <c r="F44" s="1" t="s">
        <v>32</v>
      </c>
      <c r="G44" s="2">
        <v>44961</v>
      </c>
      <c r="H44">
        <v>8</v>
      </c>
      <c r="I44">
        <v>12377</v>
      </c>
      <c r="J44" s="1" t="s">
        <v>17</v>
      </c>
    </row>
    <row r="45" spans="1:10" x14ac:dyDescent="0.25">
      <c r="A45">
        <v>44</v>
      </c>
      <c r="B45" s="1" t="s">
        <v>20</v>
      </c>
      <c r="C45">
        <v>53</v>
      </c>
      <c r="D45" s="1" t="s">
        <v>37</v>
      </c>
      <c r="E45" s="1" t="s">
        <v>27</v>
      </c>
      <c r="F45" s="1" t="s">
        <v>32</v>
      </c>
      <c r="G45" s="2">
        <v>45075</v>
      </c>
      <c r="H45">
        <v>9</v>
      </c>
      <c r="I45">
        <v>9347</v>
      </c>
      <c r="J45" s="1" t="s">
        <v>24</v>
      </c>
    </row>
    <row r="46" spans="1:10" x14ac:dyDescent="0.25">
      <c r="A46">
        <v>45</v>
      </c>
      <c r="B46" s="1" t="s">
        <v>20</v>
      </c>
      <c r="C46">
        <v>23</v>
      </c>
      <c r="D46" s="1" t="s">
        <v>34</v>
      </c>
      <c r="E46" s="1" t="s">
        <v>35</v>
      </c>
      <c r="F46" s="1" t="s">
        <v>28</v>
      </c>
      <c r="G46" s="2">
        <v>45155</v>
      </c>
      <c r="H46">
        <v>13</v>
      </c>
      <c r="I46">
        <v>35776</v>
      </c>
      <c r="J46" s="1" t="s">
        <v>39</v>
      </c>
    </row>
    <row r="47" spans="1:10" x14ac:dyDescent="0.25">
      <c r="A47">
        <v>46</v>
      </c>
      <c r="B47" s="1" t="s">
        <v>20</v>
      </c>
      <c r="C47">
        <v>53</v>
      </c>
      <c r="D47" s="1" t="s">
        <v>37</v>
      </c>
      <c r="E47" s="1" t="s">
        <v>31</v>
      </c>
      <c r="F47" s="1" t="s">
        <v>16</v>
      </c>
      <c r="G47" s="2">
        <v>45122</v>
      </c>
      <c r="H47">
        <v>7</v>
      </c>
      <c r="I47">
        <v>5783</v>
      </c>
      <c r="J47" s="1" t="s">
        <v>24</v>
      </c>
    </row>
    <row r="48" spans="1:10" x14ac:dyDescent="0.25">
      <c r="A48">
        <v>47</v>
      </c>
      <c r="B48" s="1" t="s">
        <v>20</v>
      </c>
      <c r="C48">
        <v>37</v>
      </c>
      <c r="D48" s="1" t="s">
        <v>34</v>
      </c>
      <c r="E48" s="1" t="s">
        <v>27</v>
      </c>
      <c r="F48" s="1" t="s">
        <v>28</v>
      </c>
      <c r="G48" s="2">
        <v>45213</v>
      </c>
      <c r="H48">
        <v>14</v>
      </c>
      <c r="I48">
        <v>6298</v>
      </c>
      <c r="J48" s="1" t="s">
        <v>24</v>
      </c>
    </row>
    <row r="49" spans="1:10" x14ac:dyDescent="0.25">
      <c r="A49">
        <v>48</v>
      </c>
      <c r="B49" s="1" t="s">
        <v>13</v>
      </c>
      <c r="C49">
        <v>74</v>
      </c>
      <c r="D49" s="1" t="s">
        <v>45</v>
      </c>
      <c r="E49" s="1" t="s">
        <v>31</v>
      </c>
      <c r="F49" s="1" t="s">
        <v>28</v>
      </c>
      <c r="G49" s="2">
        <v>45160</v>
      </c>
      <c r="H49">
        <v>7</v>
      </c>
      <c r="I49">
        <v>6668</v>
      </c>
      <c r="J49" s="1" t="s">
        <v>24</v>
      </c>
    </row>
    <row r="50" spans="1:10" x14ac:dyDescent="0.25">
      <c r="A50">
        <v>49</v>
      </c>
      <c r="B50" s="1" t="s">
        <v>20</v>
      </c>
      <c r="C50">
        <v>74</v>
      </c>
      <c r="D50" s="1" t="s">
        <v>21</v>
      </c>
      <c r="E50" s="1" t="s">
        <v>31</v>
      </c>
      <c r="F50" s="1" t="s">
        <v>32</v>
      </c>
      <c r="G50" s="2">
        <v>45247</v>
      </c>
      <c r="H50">
        <v>5</v>
      </c>
      <c r="I50">
        <v>22671</v>
      </c>
      <c r="J50" s="1" t="s">
        <v>24</v>
      </c>
    </row>
    <row r="51" spans="1:10" x14ac:dyDescent="0.25">
      <c r="A51">
        <v>50</v>
      </c>
      <c r="B51" s="1" t="s">
        <v>20</v>
      </c>
      <c r="C51">
        <v>83</v>
      </c>
      <c r="D51" s="1" t="s">
        <v>34</v>
      </c>
      <c r="E51" s="1" t="s">
        <v>35</v>
      </c>
      <c r="F51" s="1" t="s">
        <v>16</v>
      </c>
      <c r="G51" s="2">
        <v>45221</v>
      </c>
      <c r="H51">
        <v>4</v>
      </c>
      <c r="I51">
        <v>36820</v>
      </c>
      <c r="J51" s="1" t="s">
        <v>24</v>
      </c>
    </row>
    <row r="52" spans="1:10" x14ac:dyDescent="0.25">
      <c r="A52">
        <v>51</v>
      </c>
      <c r="B52" s="1" t="s">
        <v>13</v>
      </c>
      <c r="C52">
        <v>17</v>
      </c>
      <c r="D52" s="1" t="s">
        <v>14</v>
      </c>
      <c r="E52" s="1" t="s">
        <v>22</v>
      </c>
      <c r="F52" s="1" t="s">
        <v>23</v>
      </c>
      <c r="G52" s="2">
        <v>45117</v>
      </c>
      <c r="H52">
        <v>14</v>
      </c>
      <c r="I52">
        <v>36484</v>
      </c>
      <c r="J52" s="1" t="s">
        <v>24</v>
      </c>
    </row>
    <row r="53" spans="1:10" x14ac:dyDescent="0.25">
      <c r="A53">
        <v>52</v>
      </c>
      <c r="B53" s="1" t="s">
        <v>20</v>
      </c>
      <c r="C53">
        <v>85</v>
      </c>
      <c r="D53" s="1" t="s">
        <v>30</v>
      </c>
      <c r="E53" s="1" t="s">
        <v>35</v>
      </c>
      <c r="F53" s="1" t="s">
        <v>32</v>
      </c>
      <c r="G53" s="2">
        <v>45112</v>
      </c>
      <c r="H53">
        <v>10</v>
      </c>
      <c r="I53">
        <v>35078</v>
      </c>
      <c r="J53" s="1" t="s">
        <v>39</v>
      </c>
    </row>
    <row r="54" spans="1:10" x14ac:dyDescent="0.25">
      <c r="A54">
        <v>53</v>
      </c>
      <c r="B54" s="1" t="s">
        <v>13</v>
      </c>
      <c r="C54">
        <v>78</v>
      </c>
      <c r="D54" s="1" t="s">
        <v>14</v>
      </c>
      <c r="E54" s="1" t="s">
        <v>27</v>
      </c>
      <c r="F54" s="1" t="s">
        <v>23</v>
      </c>
      <c r="G54" s="2">
        <v>44998</v>
      </c>
      <c r="H54">
        <v>1</v>
      </c>
      <c r="I54">
        <v>49159</v>
      </c>
      <c r="J54" s="1" t="s">
        <v>39</v>
      </c>
    </row>
    <row r="55" spans="1:10" x14ac:dyDescent="0.25">
      <c r="A55">
        <v>54</v>
      </c>
      <c r="B55" s="1" t="s">
        <v>20</v>
      </c>
      <c r="C55">
        <v>73</v>
      </c>
      <c r="D55" s="1" t="s">
        <v>14</v>
      </c>
      <c r="E55" s="1" t="s">
        <v>27</v>
      </c>
      <c r="F55" s="1" t="s">
        <v>23</v>
      </c>
      <c r="G55" s="2">
        <v>45251</v>
      </c>
      <c r="H55">
        <v>10</v>
      </c>
      <c r="I55">
        <v>22922</v>
      </c>
      <c r="J55" s="1" t="s">
        <v>24</v>
      </c>
    </row>
    <row r="56" spans="1:10" x14ac:dyDescent="0.25">
      <c r="A56">
        <v>55</v>
      </c>
      <c r="B56" s="1" t="s">
        <v>13</v>
      </c>
      <c r="C56">
        <v>1</v>
      </c>
      <c r="D56" s="1" t="s">
        <v>30</v>
      </c>
      <c r="E56" s="1" t="s">
        <v>27</v>
      </c>
      <c r="F56" s="1" t="s">
        <v>16</v>
      </c>
      <c r="G56" s="2">
        <v>44993</v>
      </c>
      <c r="H56">
        <v>10</v>
      </c>
      <c r="I56">
        <v>36028</v>
      </c>
      <c r="J56" s="1" t="s">
        <v>17</v>
      </c>
    </row>
    <row r="57" spans="1:10" x14ac:dyDescent="0.25">
      <c r="A57">
        <v>56</v>
      </c>
      <c r="B57" s="1" t="s">
        <v>20</v>
      </c>
      <c r="C57">
        <v>51</v>
      </c>
      <c r="D57" s="1" t="s">
        <v>14</v>
      </c>
      <c r="E57" s="1" t="s">
        <v>35</v>
      </c>
      <c r="F57" s="1" t="s">
        <v>28</v>
      </c>
      <c r="G57" s="2">
        <v>45150</v>
      </c>
      <c r="H57">
        <v>7</v>
      </c>
      <c r="I57">
        <v>47925</v>
      </c>
      <c r="J57" s="1" t="s">
        <v>24</v>
      </c>
    </row>
    <row r="58" spans="1:10" x14ac:dyDescent="0.25">
      <c r="A58">
        <v>57</v>
      </c>
      <c r="B58" s="1" t="s">
        <v>20</v>
      </c>
      <c r="C58">
        <v>45</v>
      </c>
      <c r="D58" s="1" t="s">
        <v>34</v>
      </c>
      <c r="E58" s="1" t="s">
        <v>31</v>
      </c>
      <c r="F58" s="1" t="s">
        <v>16</v>
      </c>
      <c r="G58" s="2">
        <v>45188</v>
      </c>
      <c r="H58">
        <v>1</v>
      </c>
      <c r="I58">
        <v>22316</v>
      </c>
      <c r="J58" s="1" t="s">
        <v>24</v>
      </c>
    </row>
    <row r="59" spans="1:10" x14ac:dyDescent="0.25">
      <c r="A59">
        <v>58</v>
      </c>
      <c r="B59" s="1" t="s">
        <v>13</v>
      </c>
      <c r="C59">
        <v>77</v>
      </c>
      <c r="D59" s="1" t="s">
        <v>34</v>
      </c>
      <c r="E59" s="1" t="s">
        <v>31</v>
      </c>
      <c r="F59" s="1" t="s">
        <v>23</v>
      </c>
      <c r="G59" s="2">
        <v>45285</v>
      </c>
      <c r="H59">
        <v>1</v>
      </c>
      <c r="I59">
        <v>13460</v>
      </c>
      <c r="J59" s="1" t="s">
        <v>24</v>
      </c>
    </row>
    <row r="60" spans="1:10" x14ac:dyDescent="0.25">
      <c r="A60">
        <v>59</v>
      </c>
      <c r="B60" s="1" t="s">
        <v>13</v>
      </c>
      <c r="C60">
        <v>4</v>
      </c>
      <c r="D60" s="1" t="s">
        <v>34</v>
      </c>
      <c r="E60" s="1" t="s">
        <v>15</v>
      </c>
      <c r="F60" s="1" t="s">
        <v>32</v>
      </c>
      <c r="G60" s="2">
        <v>45080</v>
      </c>
      <c r="H60">
        <v>5</v>
      </c>
      <c r="I60">
        <v>18968</v>
      </c>
      <c r="J60" s="1" t="s">
        <v>24</v>
      </c>
    </row>
    <row r="61" spans="1:10" x14ac:dyDescent="0.25">
      <c r="A61">
        <v>60</v>
      </c>
      <c r="B61" s="1" t="s">
        <v>13</v>
      </c>
      <c r="C61">
        <v>62</v>
      </c>
      <c r="D61" s="1" t="s">
        <v>30</v>
      </c>
      <c r="E61" s="1" t="s">
        <v>27</v>
      </c>
      <c r="F61" s="1" t="s">
        <v>23</v>
      </c>
      <c r="G61" s="2">
        <v>45183</v>
      </c>
      <c r="H61">
        <v>13</v>
      </c>
      <c r="I61">
        <v>32266</v>
      </c>
      <c r="J61" s="1" t="s">
        <v>24</v>
      </c>
    </row>
    <row r="62" spans="1:10" x14ac:dyDescent="0.25">
      <c r="A62">
        <v>61</v>
      </c>
      <c r="B62" s="1" t="s">
        <v>13</v>
      </c>
      <c r="C62">
        <v>65</v>
      </c>
      <c r="D62" s="1" t="s">
        <v>14</v>
      </c>
      <c r="E62" s="1" t="s">
        <v>31</v>
      </c>
      <c r="F62" s="1" t="s">
        <v>32</v>
      </c>
      <c r="G62" s="2">
        <v>44954</v>
      </c>
      <c r="H62">
        <v>9</v>
      </c>
      <c r="I62">
        <v>32209</v>
      </c>
      <c r="J62" s="1" t="s">
        <v>24</v>
      </c>
    </row>
    <row r="63" spans="1:10" x14ac:dyDescent="0.25">
      <c r="A63">
        <v>62</v>
      </c>
      <c r="B63" s="1" t="s">
        <v>13</v>
      </c>
      <c r="C63">
        <v>32</v>
      </c>
      <c r="D63" s="1" t="s">
        <v>30</v>
      </c>
      <c r="E63" s="1" t="s">
        <v>15</v>
      </c>
      <c r="F63" s="1" t="s">
        <v>32</v>
      </c>
      <c r="G63" s="2">
        <v>45264</v>
      </c>
      <c r="H63">
        <v>6</v>
      </c>
      <c r="I63">
        <v>26000</v>
      </c>
      <c r="J63" s="1" t="s">
        <v>24</v>
      </c>
    </row>
    <row r="64" spans="1:10" x14ac:dyDescent="0.25">
      <c r="A64">
        <v>63</v>
      </c>
      <c r="B64" s="1" t="s">
        <v>13</v>
      </c>
      <c r="C64">
        <v>34</v>
      </c>
      <c r="D64" s="1" t="s">
        <v>34</v>
      </c>
      <c r="E64" s="1" t="s">
        <v>31</v>
      </c>
      <c r="F64" s="1" t="s">
        <v>16</v>
      </c>
      <c r="G64" s="2">
        <v>44947</v>
      </c>
      <c r="H64">
        <v>3</v>
      </c>
      <c r="I64">
        <v>16011</v>
      </c>
      <c r="J64" s="1" t="s">
        <v>39</v>
      </c>
    </row>
    <row r="65" spans="1:10" x14ac:dyDescent="0.25">
      <c r="A65">
        <v>64</v>
      </c>
      <c r="B65" s="1" t="s">
        <v>13</v>
      </c>
      <c r="C65">
        <v>72</v>
      </c>
      <c r="D65" s="1" t="s">
        <v>14</v>
      </c>
      <c r="E65" s="1" t="s">
        <v>27</v>
      </c>
      <c r="F65" s="1" t="s">
        <v>23</v>
      </c>
      <c r="G65" s="2">
        <v>45197</v>
      </c>
      <c r="H65">
        <v>13</v>
      </c>
      <c r="I65">
        <v>4866</v>
      </c>
      <c r="J65" s="1" t="s">
        <v>24</v>
      </c>
    </row>
    <row r="66" spans="1:10" x14ac:dyDescent="0.25">
      <c r="A66">
        <v>65</v>
      </c>
      <c r="B66" s="1" t="s">
        <v>13</v>
      </c>
      <c r="C66">
        <v>39</v>
      </c>
      <c r="D66" s="1" t="s">
        <v>14</v>
      </c>
      <c r="E66" s="1" t="s">
        <v>22</v>
      </c>
      <c r="F66" s="1" t="s">
        <v>28</v>
      </c>
      <c r="G66" s="2">
        <v>45151</v>
      </c>
      <c r="H66">
        <v>3</v>
      </c>
      <c r="I66">
        <v>49133</v>
      </c>
      <c r="J66" s="1" t="s">
        <v>24</v>
      </c>
    </row>
    <row r="67" spans="1:10" x14ac:dyDescent="0.25">
      <c r="A67">
        <v>66</v>
      </c>
      <c r="B67" s="1" t="s">
        <v>20</v>
      </c>
      <c r="C67">
        <v>26</v>
      </c>
      <c r="D67" s="1" t="s">
        <v>37</v>
      </c>
      <c r="E67" s="1" t="s">
        <v>27</v>
      </c>
      <c r="F67" s="1" t="s">
        <v>23</v>
      </c>
      <c r="G67" s="2">
        <v>45069</v>
      </c>
      <c r="H67">
        <v>7</v>
      </c>
      <c r="I67">
        <v>7898</v>
      </c>
      <c r="J67" s="1" t="s">
        <v>24</v>
      </c>
    </row>
    <row r="68" spans="1:10" x14ac:dyDescent="0.25">
      <c r="A68">
        <v>67</v>
      </c>
      <c r="B68" s="1" t="s">
        <v>20</v>
      </c>
      <c r="C68">
        <v>34</v>
      </c>
      <c r="D68" s="1" t="s">
        <v>37</v>
      </c>
      <c r="E68" s="1" t="s">
        <v>35</v>
      </c>
      <c r="F68" s="1" t="s">
        <v>23</v>
      </c>
      <c r="G68" s="2">
        <v>45253</v>
      </c>
      <c r="H68">
        <v>6</v>
      </c>
      <c r="I68">
        <v>20395</v>
      </c>
      <c r="J68" s="1" t="s">
        <v>24</v>
      </c>
    </row>
    <row r="69" spans="1:10" x14ac:dyDescent="0.25">
      <c r="A69">
        <v>68</v>
      </c>
      <c r="B69" s="1" t="s">
        <v>13</v>
      </c>
      <c r="C69">
        <v>54</v>
      </c>
      <c r="D69" s="1" t="s">
        <v>45</v>
      </c>
      <c r="E69" s="1" t="s">
        <v>31</v>
      </c>
      <c r="F69" s="1" t="s">
        <v>28</v>
      </c>
      <c r="G69" s="2">
        <v>45046</v>
      </c>
      <c r="H69">
        <v>9</v>
      </c>
      <c r="I69">
        <v>41019</v>
      </c>
      <c r="J69" s="1" t="s">
        <v>24</v>
      </c>
    </row>
    <row r="70" spans="1:10" x14ac:dyDescent="0.25">
      <c r="A70">
        <v>69</v>
      </c>
      <c r="B70" s="1" t="s">
        <v>20</v>
      </c>
      <c r="C70">
        <v>3</v>
      </c>
      <c r="D70" s="1" t="s">
        <v>21</v>
      </c>
      <c r="E70" s="1" t="s">
        <v>31</v>
      </c>
      <c r="F70" s="1" t="s">
        <v>16</v>
      </c>
      <c r="G70" s="2">
        <v>45090</v>
      </c>
      <c r="H70">
        <v>6</v>
      </c>
      <c r="I70">
        <v>39707</v>
      </c>
      <c r="J70" s="1" t="s">
        <v>39</v>
      </c>
    </row>
    <row r="71" spans="1:10" x14ac:dyDescent="0.25">
      <c r="A71">
        <v>70</v>
      </c>
      <c r="B71" s="1" t="s">
        <v>20</v>
      </c>
      <c r="C71">
        <v>50</v>
      </c>
      <c r="D71" s="1" t="s">
        <v>37</v>
      </c>
      <c r="E71" s="1" t="s">
        <v>35</v>
      </c>
      <c r="F71" s="1" t="s">
        <v>23</v>
      </c>
      <c r="G71" s="2">
        <v>45047</v>
      </c>
      <c r="H71">
        <v>5</v>
      </c>
      <c r="I71">
        <v>6006</v>
      </c>
      <c r="J71" s="1" t="s">
        <v>24</v>
      </c>
    </row>
    <row r="72" spans="1:10" x14ac:dyDescent="0.25">
      <c r="A72">
        <v>71</v>
      </c>
      <c r="B72" s="1" t="s">
        <v>20</v>
      </c>
      <c r="C72">
        <v>12</v>
      </c>
      <c r="D72" s="1" t="s">
        <v>30</v>
      </c>
      <c r="E72" s="1" t="s">
        <v>35</v>
      </c>
      <c r="F72" s="1" t="s">
        <v>23</v>
      </c>
      <c r="G72" s="2">
        <v>44957</v>
      </c>
      <c r="H72">
        <v>10</v>
      </c>
      <c r="I72">
        <v>36393</v>
      </c>
      <c r="J72" s="1" t="s">
        <v>24</v>
      </c>
    </row>
    <row r="73" spans="1:10" x14ac:dyDescent="0.25">
      <c r="A73">
        <v>72</v>
      </c>
      <c r="B73" s="1" t="s">
        <v>20</v>
      </c>
      <c r="C73">
        <v>65</v>
      </c>
      <c r="D73" s="1" t="s">
        <v>37</v>
      </c>
      <c r="E73" s="1" t="s">
        <v>22</v>
      </c>
      <c r="F73" s="1" t="s">
        <v>32</v>
      </c>
      <c r="G73" s="2">
        <v>45266</v>
      </c>
      <c r="H73">
        <v>7</v>
      </c>
      <c r="I73">
        <v>12956</v>
      </c>
      <c r="J73" s="1" t="s">
        <v>24</v>
      </c>
    </row>
    <row r="74" spans="1:10" x14ac:dyDescent="0.25">
      <c r="A74">
        <v>73</v>
      </c>
      <c r="B74" s="1" t="s">
        <v>13</v>
      </c>
      <c r="C74">
        <v>54</v>
      </c>
      <c r="D74" s="1" t="s">
        <v>45</v>
      </c>
      <c r="E74" s="1" t="s">
        <v>31</v>
      </c>
      <c r="F74" s="1" t="s">
        <v>23</v>
      </c>
      <c r="G74" s="2">
        <v>45028</v>
      </c>
      <c r="H74">
        <v>1</v>
      </c>
      <c r="I74">
        <v>32663</v>
      </c>
      <c r="J74" s="1" t="s">
        <v>24</v>
      </c>
    </row>
    <row r="75" spans="1:10" x14ac:dyDescent="0.25">
      <c r="A75">
        <v>74</v>
      </c>
      <c r="B75" s="1" t="s">
        <v>20</v>
      </c>
      <c r="C75">
        <v>5</v>
      </c>
      <c r="D75" s="1" t="s">
        <v>14</v>
      </c>
      <c r="E75" s="1" t="s">
        <v>31</v>
      </c>
      <c r="F75" s="1" t="s">
        <v>28</v>
      </c>
      <c r="G75" s="2">
        <v>44950</v>
      </c>
      <c r="H75">
        <v>12</v>
      </c>
      <c r="I75">
        <v>8078</v>
      </c>
      <c r="J75" s="1" t="s">
        <v>24</v>
      </c>
    </row>
    <row r="76" spans="1:10" x14ac:dyDescent="0.25">
      <c r="A76">
        <v>75</v>
      </c>
      <c r="B76" s="1" t="s">
        <v>13</v>
      </c>
      <c r="C76">
        <v>57</v>
      </c>
      <c r="D76" s="1" t="s">
        <v>45</v>
      </c>
      <c r="E76" s="1" t="s">
        <v>22</v>
      </c>
      <c r="F76" s="1" t="s">
        <v>32</v>
      </c>
      <c r="G76" s="2">
        <v>44932</v>
      </c>
      <c r="H76">
        <v>7</v>
      </c>
      <c r="I76">
        <v>31631</v>
      </c>
      <c r="J76" s="1" t="s">
        <v>24</v>
      </c>
    </row>
    <row r="77" spans="1:10" x14ac:dyDescent="0.25">
      <c r="A77">
        <v>76</v>
      </c>
      <c r="B77" s="1" t="s">
        <v>20</v>
      </c>
      <c r="C77">
        <v>17</v>
      </c>
      <c r="D77" s="1" t="s">
        <v>14</v>
      </c>
      <c r="E77" s="1" t="s">
        <v>15</v>
      </c>
      <c r="F77" s="1" t="s">
        <v>16</v>
      </c>
      <c r="G77" s="2">
        <v>45273</v>
      </c>
      <c r="H77">
        <v>3</v>
      </c>
      <c r="I77">
        <v>32140</v>
      </c>
      <c r="J77" s="1" t="s">
        <v>17</v>
      </c>
    </row>
    <row r="78" spans="1:10" x14ac:dyDescent="0.25">
      <c r="A78">
        <v>77</v>
      </c>
      <c r="B78" s="1" t="s">
        <v>20</v>
      </c>
      <c r="C78">
        <v>47</v>
      </c>
      <c r="D78" s="1" t="s">
        <v>14</v>
      </c>
      <c r="E78" s="1" t="s">
        <v>22</v>
      </c>
      <c r="F78" s="1" t="s">
        <v>32</v>
      </c>
      <c r="G78" s="2">
        <v>44978</v>
      </c>
      <c r="H78">
        <v>14</v>
      </c>
      <c r="I78">
        <v>43691</v>
      </c>
      <c r="J78" s="1" t="s">
        <v>24</v>
      </c>
    </row>
    <row r="79" spans="1:10" x14ac:dyDescent="0.25">
      <c r="A79">
        <v>78</v>
      </c>
      <c r="B79" s="1" t="s">
        <v>20</v>
      </c>
      <c r="C79">
        <v>23</v>
      </c>
      <c r="D79" s="1" t="s">
        <v>21</v>
      </c>
      <c r="E79" s="1" t="s">
        <v>27</v>
      </c>
      <c r="F79" s="1" t="s">
        <v>28</v>
      </c>
      <c r="G79" s="2">
        <v>45097</v>
      </c>
      <c r="H79">
        <v>9</v>
      </c>
      <c r="I79">
        <v>5961</v>
      </c>
      <c r="J79" s="1" t="s">
        <v>24</v>
      </c>
    </row>
    <row r="80" spans="1:10" x14ac:dyDescent="0.25">
      <c r="A80">
        <v>79</v>
      </c>
      <c r="B80" s="1" t="s">
        <v>13</v>
      </c>
      <c r="C80">
        <v>79</v>
      </c>
      <c r="D80" s="1" t="s">
        <v>37</v>
      </c>
      <c r="E80" s="1" t="s">
        <v>31</v>
      </c>
      <c r="F80" s="1" t="s">
        <v>28</v>
      </c>
      <c r="G80" s="2">
        <v>44953</v>
      </c>
      <c r="H80">
        <v>6</v>
      </c>
      <c r="I80">
        <v>31277</v>
      </c>
      <c r="J80" s="1" t="s">
        <v>24</v>
      </c>
    </row>
    <row r="81" spans="1:10" x14ac:dyDescent="0.25">
      <c r="A81">
        <v>80</v>
      </c>
      <c r="B81" s="1" t="s">
        <v>20</v>
      </c>
      <c r="C81">
        <v>85</v>
      </c>
      <c r="D81" s="1" t="s">
        <v>30</v>
      </c>
      <c r="E81" s="1" t="s">
        <v>35</v>
      </c>
      <c r="F81" s="1" t="s">
        <v>32</v>
      </c>
      <c r="G81" s="2">
        <v>45102</v>
      </c>
      <c r="H81">
        <v>9</v>
      </c>
      <c r="I81">
        <v>43574</v>
      </c>
      <c r="J81" s="1" t="s">
        <v>24</v>
      </c>
    </row>
    <row r="82" spans="1:10" x14ac:dyDescent="0.25">
      <c r="A82">
        <v>81</v>
      </c>
      <c r="B82" s="1" t="s">
        <v>13</v>
      </c>
      <c r="C82">
        <v>14</v>
      </c>
      <c r="D82" s="1" t="s">
        <v>30</v>
      </c>
      <c r="E82" s="1" t="s">
        <v>27</v>
      </c>
      <c r="F82" s="1" t="s">
        <v>16</v>
      </c>
      <c r="G82" s="2">
        <v>45037</v>
      </c>
      <c r="H82">
        <v>13</v>
      </c>
      <c r="I82">
        <v>33417</v>
      </c>
      <c r="J82" s="1" t="s">
        <v>24</v>
      </c>
    </row>
    <row r="83" spans="1:10" x14ac:dyDescent="0.25">
      <c r="A83">
        <v>82</v>
      </c>
      <c r="B83" s="1" t="s">
        <v>20</v>
      </c>
      <c r="C83">
        <v>66</v>
      </c>
      <c r="D83" s="1" t="s">
        <v>34</v>
      </c>
      <c r="E83" s="1" t="s">
        <v>31</v>
      </c>
      <c r="F83" s="1" t="s">
        <v>32</v>
      </c>
      <c r="G83" s="2">
        <v>45196</v>
      </c>
      <c r="H83">
        <v>5</v>
      </c>
      <c r="I83">
        <v>24484</v>
      </c>
      <c r="J83" s="1" t="s">
        <v>17</v>
      </c>
    </row>
    <row r="84" spans="1:10" x14ac:dyDescent="0.25">
      <c r="A84">
        <v>83</v>
      </c>
      <c r="B84" s="1" t="s">
        <v>13</v>
      </c>
      <c r="C84">
        <v>75</v>
      </c>
      <c r="D84" s="1" t="s">
        <v>14</v>
      </c>
      <c r="E84" s="1" t="s">
        <v>22</v>
      </c>
      <c r="F84" s="1" t="s">
        <v>16</v>
      </c>
      <c r="G84" s="2">
        <v>44988</v>
      </c>
      <c r="H84">
        <v>7</v>
      </c>
      <c r="I84">
        <v>20103</v>
      </c>
      <c r="J84" s="1" t="s">
        <v>24</v>
      </c>
    </row>
    <row r="85" spans="1:10" x14ac:dyDescent="0.25">
      <c r="A85">
        <v>84</v>
      </c>
      <c r="B85" s="1" t="s">
        <v>20</v>
      </c>
      <c r="C85">
        <v>51</v>
      </c>
      <c r="D85" s="1" t="s">
        <v>30</v>
      </c>
      <c r="E85" s="1" t="s">
        <v>27</v>
      </c>
      <c r="F85" s="1" t="s">
        <v>32</v>
      </c>
      <c r="G85" s="2">
        <v>45079</v>
      </c>
      <c r="H85">
        <v>13</v>
      </c>
      <c r="I85">
        <v>31345</v>
      </c>
      <c r="J85" s="1" t="s">
        <v>24</v>
      </c>
    </row>
    <row r="86" spans="1:10" x14ac:dyDescent="0.25">
      <c r="A86">
        <v>85</v>
      </c>
      <c r="B86" s="1" t="s">
        <v>13</v>
      </c>
      <c r="C86">
        <v>38</v>
      </c>
      <c r="D86" s="1" t="s">
        <v>21</v>
      </c>
      <c r="E86" s="1" t="s">
        <v>31</v>
      </c>
      <c r="F86" s="1" t="s">
        <v>28</v>
      </c>
      <c r="G86" s="2">
        <v>45206</v>
      </c>
      <c r="H86">
        <v>14</v>
      </c>
      <c r="I86">
        <v>48326</v>
      </c>
      <c r="J86" s="1" t="s">
        <v>24</v>
      </c>
    </row>
    <row r="87" spans="1:10" x14ac:dyDescent="0.25">
      <c r="A87">
        <v>86</v>
      </c>
      <c r="B87" s="1" t="s">
        <v>13</v>
      </c>
      <c r="C87">
        <v>64</v>
      </c>
      <c r="D87" s="1" t="s">
        <v>14</v>
      </c>
      <c r="E87" s="1" t="s">
        <v>15</v>
      </c>
      <c r="F87" s="1" t="s">
        <v>23</v>
      </c>
      <c r="G87" s="2">
        <v>45089</v>
      </c>
      <c r="H87">
        <v>4</v>
      </c>
      <c r="I87">
        <v>41454</v>
      </c>
      <c r="J87" s="1" t="s">
        <v>24</v>
      </c>
    </row>
    <row r="88" spans="1:10" x14ac:dyDescent="0.25">
      <c r="A88">
        <v>87</v>
      </c>
      <c r="B88" s="1" t="s">
        <v>20</v>
      </c>
      <c r="C88">
        <v>38</v>
      </c>
      <c r="D88" s="1" t="s">
        <v>21</v>
      </c>
      <c r="E88" s="1" t="s">
        <v>15</v>
      </c>
      <c r="F88" s="1" t="s">
        <v>23</v>
      </c>
      <c r="G88" s="2">
        <v>45031</v>
      </c>
      <c r="H88">
        <v>7</v>
      </c>
      <c r="I88">
        <v>3587</v>
      </c>
      <c r="J88" s="1" t="s">
        <v>24</v>
      </c>
    </row>
    <row r="89" spans="1:10" x14ac:dyDescent="0.25">
      <c r="A89">
        <v>88</v>
      </c>
      <c r="B89" s="1" t="s">
        <v>13</v>
      </c>
      <c r="C89">
        <v>50</v>
      </c>
      <c r="D89" s="1" t="s">
        <v>30</v>
      </c>
      <c r="E89" s="1" t="s">
        <v>35</v>
      </c>
      <c r="F89" s="1" t="s">
        <v>16</v>
      </c>
      <c r="G89" s="2">
        <v>45116</v>
      </c>
      <c r="H89">
        <v>13</v>
      </c>
      <c r="I89">
        <v>44571</v>
      </c>
      <c r="J89" s="1" t="s">
        <v>24</v>
      </c>
    </row>
    <row r="90" spans="1:10" x14ac:dyDescent="0.25">
      <c r="A90">
        <v>89</v>
      </c>
      <c r="B90" s="1" t="s">
        <v>20</v>
      </c>
      <c r="C90">
        <v>82</v>
      </c>
      <c r="D90" s="1" t="s">
        <v>30</v>
      </c>
      <c r="E90" s="1" t="s">
        <v>31</v>
      </c>
      <c r="F90" s="1" t="s">
        <v>16</v>
      </c>
      <c r="G90" s="2">
        <v>45068</v>
      </c>
      <c r="H90">
        <v>1</v>
      </c>
      <c r="I90">
        <v>23031</v>
      </c>
      <c r="J90" s="1" t="s">
        <v>24</v>
      </c>
    </row>
    <row r="91" spans="1:10" x14ac:dyDescent="0.25">
      <c r="A91">
        <v>90</v>
      </c>
      <c r="B91" s="1" t="s">
        <v>20</v>
      </c>
      <c r="C91">
        <v>30</v>
      </c>
      <c r="D91" s="1" t="s">
        <v>34</v>
      </c>
      <c r="E91" s="1" t="s">
        <v>15</v>
      </c>
      <c r="F91" s="1" t="s">
        <v>16</v>
      </c>
      <c r="G91" s="2">
        <v>45176</v>
      </c>
      <c r="H91">
        <v>7</v>
      </c>
      <c r="I91">
        <v>28212</v>
      </c>
      <c r="J91" s="1" t="s">
        <v>24</v>
      </c>
    </row>
    <row r="92" spans="1:10" x14ac:dyDescent="0.25">
      <c r="A92">
        <v>91</v>
      </c>
      <c r="B92" s="1" t="s">
        <v>20</v>
      </c>
      <c r="C92">
        <v>79</v>
      </c>
      <c r="D92" s="1" t="s">
        <v>30</v>
      </c>
      <c r="E92" s="1" t="s">
        <v>22</v>
      </c>
      <c r="F92" s="1" t="s">
        <v>28</v>
      </c>
      <c r="G92" s="2">
        <v>45233</v>
      </c>
      <c r="H92">
        <v>8</v>
      </c>
      <c r="I92">
        <v>12350</v>
      </c>
      <c r="J92" s="1" t="s">
        <v>39</v>
      </c>
    </row>
    <row r="93" spans="1:10" x14ac:dyDescent="0.25">
      <c r="A93">
        <v>92</v>
      </c>
      <c r="B93" s="1" t="s">
        <v>20</v>
      </c>
      <c r="C93">
        <v>51</v>
      </c>
      <c r="D93" s="1" t="s">
        <v>14</v>
      </c>
      <c r="E93" s="1" t="s">
        <v>31</v>
      </c>
      <c r="F93" s="1" t="s">
        <v>32</v>
      </c>
      <c r="G93" s="2">
        <v>44977</v>
      </c>
      <c r="H93">
        <v>5</v>
      </c>
      <c r="I93">
        <v>20816</v>
      </c>
      <c r="J93" s="1" t="s">
        <v>24</v>
      </c>
    </row>
    <row r="94" spans="1:10" x14ac:dyDescent="0.25">
      <c r="A94">
        <v>93</v>
      </c>
      <c r="B94" s="1" t="s">
        <v>20</v>
      </c>
      <c r="C94">
        <v>63</v>
      </c>
      <c r="D94" s="1" t="s">
        <v>14</v>
      </c>
      <c r="E94" s="1" t="s">
        <v>22</v>
      </c>
      <c r="F94" s="1" t="s">
        <v>28</v>
      </c>
      <c r="G94" s="2">
        <v>45197</v>
      </c>
      <c r="H94">
        <v>2</v>
      </c>
      <c r="I94">
        <v>22288</v>
      </c>
      <c r="J94" s="1" t="s">
        <v>24</v>
      </c>
    </row>
    <row r="95" spans="1:10" x14ac:dyDescent="0.25">
      <c r="A95">
        <v>94</v>
      </c>
      <c r="B95" s="1" t="s">
        <v>20</v>
      </c>
      <c r="C95">
        <v>52</v>
      </c>
      <c r="D95" s="1" t="s">
        <v>14</v>
      </c>
      <c r="E95" s="1" t="s">
        <v>22</v>
      </c>
      <c r="F95" s="1" t="s">
        <v>23</v>
      </c>
      <c r="G95" s="2">
        <v>45110</v>
      </c>
      <c r="H95">
        <v>5</v>
      </c>
      <c r="I95">
        <v>31432</v>
      </c>
      <c r="J95" s="1" t="s">
        <v>24</v>
      </c>
    </row>
    <row r="96" spans="1:10" x14ac:dyDescent="0.25">
      <c r="A96">
        <v>95</v>
      </c>
      <c r="B96" s="1" t="s">
        <v>20</v>
      </c>
      <c r="C96">
        <v>38</v>
      </c>
      <c r="D96" s="1" t="s">
        <v>34</v>
      </c>
      <c r="E96" s="1" t="s">
        <v>15</v>
      </c>
      <c r="F96" s="1" t="s">
        <v>16</v>
      </c>
      <c r="G96" s="2">
        <v>45044</v>
      </c>
      <c r="H96">
        <v>6</v>
      </c>
      <c r="I96">
        <v>46222</v>
      </c>
      <c r="J96" s="1" t="s">
        <v>24</v>
      </c>
    </row>
    <row r="97" spans="1:10" x14ac:dyDescent="0.25">
      <c r="A97">
        <v>96</v>
      </c>
      <c r="B97" s="1" t="s">
        <v>20</v>
      </c>
      <c r="C97">
        <v>88</v>
      </c>
      <c r="D97" s="1" t="s">
        <v>34</v>
      </c>
      <c r="E97" s="1" t="s">
        <v>31</v>
      </c>
      <c r="F97" s="1" t="s">
        <v>32</v>
      </c>
      <c r="G97" s="2">
        <v>45136</v>
      </c>
      <c r="H97">
        <v>12</v>
      </c>
      <c r="I97">
        <v>8837</v>
      </c>
      <c r="J97" s="1" t="s">
        <v>24</v>
      </c>
    </row>
    <row r="98" spans="1:10" x14ac:dyDescent="0.25">
      <c r="A98">
        <v>97</v>
      </c>
      <c r="B98" s="1" t="s">
        <v>20</v>
      </c>
      <c r="C98">
        <v>79</v>
      </c>
      <c r="D98" s="1" t="s">
        <v>30</v>
      </c>
      <c r="E98" s="1" t="s">
        <v>27</v>
      </c>
      <c r="F98" s="1" t="s">
        <v>23</v>
      </c>
      <c r="G98" s="2">
        <v>45256</v>
      </c>
      <c r="H98">
        <v>2</v>
      </c>
      <c r="I98">
        <v>36217</v>
      </c>
      <c r="J98" s="1" t="s">
        <v>24</v>
      </c>
    </row>
    <row r="99" spans="1:10" x14ac:dyDescent="0.25">
      <c r="A99">
        <v>98</v>
      </c>
      <c r="B99" s="1" t="s">
        <v>20</v>
      </c>
      <c r="C99">
        <v>30</v>
      </c>
      <c r="D99" s="1" t="s">
        <v>45</v>
      </c>
      <c r="E99" s="1" t="s">
        <v>15</v>
      </c>
      <c r="F99" s="1" t="s">
        <v>23</v>
      </c>
      <c r="G99" s="2">
        <v>45071</v>
      </c>
      <c r="H99">
        <v>14</v>
      </c>
      <c r="I99">
        <v>22884</v>
      </c>
      <c r="J99" s="1" t="s">
        <v>24</v>
      </c>
    </row>
    <row r="100" spans="1:10" x14ac:dyDescent="0.25">
      <c r="A100">
        <v>99</v>
      </c>
      <c r="B100" s="1" t="s">
        <v>20</v>
      </c>
      <c r="C100">
        <v>51</v>
      </c>
      <c r="D100" s="1" t="s">
        <v>45</v>
      </c>
      <c r="E100" s="1" t="s">
        <v>15</v>
      </c>
      <c r="F100" s="1" t="s">
        <v>23</v>
      </c>
      <c r="G100" s="2">
        <v>45226</v>
      </c>
      <c r="H100">
        <v>6</v>
      </c>
      <c r="I100">
        <v>7454</v>
      </c>
      <c r="J100" s="1" t="s">
        <v>24</v>
      </c>
    </row>
    <row r="101" spans="1:10" x14ac:dyDescent="0.25">
      <c r="A101">
        <v>100</v>
      </c>
      <c r="B101" s="1" t="s">
        <v>13</v>
      </c>
      <c r="C101">
        <v>81</v>
      </c>
      <c r="D101" s="1" t="s">
        <v>34</v>
      </c>
      <c r="E101" s="1" t="s">
        <v>31</v>
      </c>
      <c r="F101" s="1" t="s">
        <v>28</v>
      </c>
      <c r="G101" s="2">
        <v>45219</v>
      </c>
      <c r="H101">
        <v>6</v>
      </c>
      <c r="I101">
        <v>11424</v>
      </c>
      <c r="J101" s="1" t="s">
        <v>24</v>
      </c>
    </row>
    <row r="102" spans="1:10" x14ac:dyDescent="0.25">
      <c r="A102">
        <v>101</v>
      </c>
      <c r="B102" s="1" t="s">
        <v>13</v>
      </c>
      <c r="C102">
        <v>5</v>
      </c>
      <c r="D102" s="1" t="s">
        <v>30</v>
      </c>
      <c r="E102" s="1" t="s">
        <v>31</v>
      </c>
      <c r="F102" s="1" t="s">
        <v>16</v>
      </c>
      <c r="G102" s="2">
        <v>45069</v>
      </c>
      <c r="H102">
        <v>1</v>
      </c>
      <c r="I102">
        <v>38885</v>
      </c>
      <c r="J102" s="1" t="s">
        <v>24</v>
      </c>
    </row>
    <row r="103" spans="1:10" x14ac:dyDescent="0.25">
      <c r="A103">
        <v>102</v>
      </c>
      <c r="B103" s="1" t="s">
        <v>20</v>
      </c>
      <c r="C103">
        <v>29</v>
      </c>
      <c r="D103" s="1" t="s">
        <v>45</v>
      </c>
      <c r="E103" s="1" t="s">
        <v>22</v>
      </c>
      <c r="F103" s="1" t="s">
        <v>23</v>
      </c>
      <c r="G103" s="2">
        <v>45274</v>
      </c>
      <c r="H103">
        <v>14</v>
      </c>
      <c r="I103">
        <v>43637</v>
      </c>
      <c r="J103" s="1" t="s">
        <v>39</v>
      </c>
    </row>
    <row r="104" spans="1:10" x14ac:dyDescent="0.25">
      <c r="A104">
        <v>103</v>
      </c>
      <c r="B104" s="1" t="s">
        <v>20</v>
      </c>
      <c r="C104">
        <v>4</v>
      </c>
      <c r="D104" s="1" t="s">
        <v>30</v>
      </c>
      <c r="E104" s="1" t="s">
        <v>31</v>
      </c>
      <c r="F104" s="1" t="s">
        <v>16</v>
      </c>
      <c r="G104" s="2">
        <v>45026</v>
      </c>
      <c r="H104">
        <v>1</v>
      </c>
      <c r="I104">
        <v>45618</v>
      </c>
      <c r="J104" s="1" t="s">
        <v>24</v>
      </c>
    </row>
    <row r="105" spans="1:10" x14ac:dyDescent="0.25">
      <c r="A105">
        <v>104</v>
      </c>
      <c r="B105" s="1" t="s">
        <v>20</v>
      </c>
      <c r="C105">
        <v>10</v>
      </c>
      <c r="D105" s="1" t="s">
        <v>30</v>
      </c>
      <c r="E105" s="1" t="s">
        <v>22</v>
      </c>
      <c r="F105" s="1" t="s">
        <v>28</v>
      </c>
      <c r="G105" s="2">
        <v>44932</v>
      </c>
      <c r="H105">
        <v>14</v>
      </c>
      <c r="I105">
        <v>20412</v>
      </c>
      <c r="J105" s="1" t="s">
        <v>24</v>
      </c>
    </row>
    <row r="106" spans="1:10" x14ac:dyDescent="0.25">
      <c r="A106">
        <v>105</v>
      </c>
      <c r="B106" s="1" t="s">
        <v>20</v>
      </c>
      <c r="C106">
        <v>56</v>
      </c>
      <c r="D106" s="1" t="s">
        <v>30</v>
      </c>
      <c r="E106" s="1" t="s">
        <v>15</v>
      </c>
      <c r="F106" s="1" t="s">
        <v>23</v>
      </c>
      <c r="G106" s="2">
        <v>45143</v>
      </c>
      <c r="H106">
        <v>11</v>
      </c>
      <c r="I106">
        <v>49111</v>
      </c>
      <c r="J106" s="1" t="s">
        <v>24</v>
      </c>
    </row>
    <row r="107" spans="1:10" x14ac:dyDescent="0.25">
      <c r="A107">
        <v>106</v>
      </c>
      <c r="B107" s="1" t="s">
        <v>20</v>
      </c>
      <c r="C107">
        <v>17</v>
      </c>
      <c r="D107" s="1" t="s">
        <v>37</v>
      </c>
      <c r="E107" s="1" t="s">
        <v>35</v>
      </c>
      <c r="F107" s="1" t="s">
        <v>28</v>
      </c>
      <c r="G107" s="2">
        <v>44996</v>
      </c>
      <c r="H107">
        <v>10</v>
      </c>
      <c r="I107">
        <v>41613</v>
      </c>
      <c r="J107" s="1" t="s">
        <v>24</v>
      </c>
    </row>
    <row r="108" spans="1:10" x14ac:dyDescent="0.25">
      <c r="A108">
        <v>107</v>
      </c>
      <c r="B108" s="1" t="s">
        <v>20</v>
      </c>
      <c r="C108">
        <v>74</v>
      </c>
      <c r="D108" s="1" t="s">
        <v>14</v>
      </c>
      <c r="E108" s="1" t="s">
        <v>27</v>
      </c>
      <c r="F108" s="1" t="s">
        <v>28</v>
      </c>
      <c r="G108" s="2">
        <v>45193</v>
      </c>
      <c r="H108">
        <v>3</v>
      </c>
      <c r="I108">
        <v>22142</v>
      </c>
      <c r="J108" s="1" t="s">
        <v>24</v>
      </c>
    </row>
    <row r="109" spans="1:10" x14ac:dyDescent="0.25">
      <c r="A109">
        <v>108</v>
      </c>
      <c r="B109" s="1" t="s">
        <v>20</v>
      </c>
      <c r="C109">
        <v>17</v>
      </c>
      <c r="D109" s="1" t="s">
        <v>30</v>
      </c>
      <c r="E109" s="1" t="s">
        <v>15</v>
      </c>
      <c r="F109" s="1" t="s">
        <v>16</v>
      </c>
      <c r="G109" s="2">
        <v>45178</v>
      </c>
      <c r="H109">
        <v>14</v>
      </c>
      <c r="I109">
        <v>39392</v>
      </c>
      <c r="J109" s="1" t="s">
        <v>24</v>
      </c>
    </row>
    <row r="110" spans="1:10" x14ac:dyDescent="0.25">
      <c r="A110">
        <v>109</v>
      </c>
      <c r="B110" s="1" t="s">
        <v>20</v>
      </c>
      <c r="C110">
        <v>84</v>
      </c>
      <c r="D110" s="1" t="s">
        <v>37</v>
      </c>
      <c r="E110" s="1" t="s">
        <v>31</v>
      </c>
      <c r="F110" s="1" t="s">
        <v>23</v>
      </c>
      <c r="G110" s="2">
        <v>45016</v>
      </c>
      <c r="H110">
        <v>10</v>
      </c>
      <c r="I110">
        <v>10848</v>
      </c>
      <c r="J110" s="1" t="s">
        <v>39</v>
      </c>
    </row>
    <row r="111" spans="1:10" x14ac:dyDescent="0.25">
      <c r="A111">
        <v>110</v>
      </c>
      <c r="B111" s="1" t="s">
        <v>13</v>
      </c>
      <c r="C111">
        <v>88</v>
      </c>
      <c r="D111" s="1" t="s">
        <v>34</v>
      </c>
      <c r="E111" s="1" t="s">
        <v>27</v>
      </c>
      <c r="F111" s="1" t="s">
        <v>28</v>
      </c>
      <c r="G111" s="2">
        <v>44964</v>
      </c>
      <c r="H111">
        <v>10</v>
      </c>
      <c r="I111">
        <v>15136</v>
      </c>
      <c r="J111" s="1" t="s">
        <v>24</v>
      </c>
    </row>
    <row r="112" spans="1:10" x14ac:dyDescent="0.25">
      <c r="A112">
        <v>111</v>
      </c>
      <c r="B112" s="1" t="s">
        <v>20</v>
      </c>
      <c r="C112">
        <v>69</v>
      </c>
      <c r="D112" s="1" t="s">
        <v>45</v>
      </c>
      <c r="E112" s="1" t="s">
        <v>35</v>
      </c>
      <c r="F112" s="1" t="s">
        <v>23</v>
      </c>
      <c r="G112" s="2">
        <v>45106</v>
      </c>
      <c r="H112">
        <v>12</v>
      </c>
      <c r="I112">
        <v>2589</v>
      </c>
      <c r="J112" s="1" t="s">
        <v>24</v>
      </c>
    </row>
    <row r="113" spans="1:10" x14ac:dyDescent="0.25">
      <c r="A113">
        <v>112</v>
      </c>
      <c r="B113" s="1" t="s">
        <v>13</v>
      </c>
      <c r="C113">
        <v>34</v>
      </c>
      <c r="D113" s="1" t="s">
        <v>14</v>
      </c>
      <c r="E113" s="1" t="s">
        <v>35</v>
      </c>
      <c r="F113" s="1" t="s">
        <v>16</v>
      </c>
      <c r="G113" s="2">
        <v>45172</v>
      </c>
      <c r="H113">
        <v>3</v>
      </c>
      <c r="I113">
        <v>22908</v>
      </c>
      <c r="J113" s="1" t="s">
        <v>24</v>
      </c>
    </row>
    <row r="114" spans="1:10" x14ac:dyDescent="0.25">
      <c r="A114">
        <v>113</v>
      </c>
      <c r="B114" s="1" t="s">
        <v>20</v>
      </c>
      <c r="C114">
        <v>6</v>
      </c>
      <c r="D114" s="1" t="s">
        <v>45</v>
      </c>
      <c r="E114" s="1" t="s">
        <v>22</v>
      </c>
      <c r="F114" s="1" t="s">
        <v>28</v>
      </c>
      <c r="G114" s="2">
        <v>45140</v>
      </c>
      <c r="H114">
        <v>4</v>
      </c>
      <c r="I114">
        <v>8509</v>
      </c>
      <c r="J114" s="1" t="s">
        <v>24</v>
      </c>
    </row>
    <row r="115" spans="1:10" x14ac:dyDescent="0.25">
      <c r="A115">
        <v>114</v>
      </c>
      <c r="B115" s="1" t="s">
        <v>20</v>
      </c>
      <c r="C115">
        <v>53</v>
      </c>
      <c r="D115" s="1" t="s">
        <v>14</v>
      </c>
      <c r="E115" s="1" t="s">
        <v>27</v>
      </c>
      <c r="F115" s="1" t="s">
        <v>16</v>
      </c>
      <c r="G115" s="2">
        <v>45120</v>
      </c>
      <c r="H115">
        <v>2</v>
      </c>
      <c r="I115">
        <v>42461</v>
      </c>
      <c r="J115" s="1" t="s">
        <v>24</v>
      </c>
    </row>
    <row r="116" spans="1:10" x14ac:dyDescent="0.25">
      <c r="A116">
        <v>115</v>
      </c>
      <c r="B116" s="1" t="s">
        <v>13</v>
      </c>
      <c r="C116">
        <v>66</v>
      </c>
      <c r="D116" s="1" t="s">
        <v>45</v>
      </c>
      <c r="E116" s="1" t="s">
        <v>22</v>
      </c>
      <c r="F116" s="1" t="s">
        <v>23</v>
      </c>
      <c r="G116" s="2">
        <v>45219</v>
      </c>
      <c r="H116">
        <v>9</v>
      </c>
      <c r="I116">
        <v>44222</v>
      </c>
      <c r="J116" s="1" t="s">
        <v>39</v>
      </c>
    </row>
    <row r="117" spans="1:10" x14ac:dyDescent="0.25">
      <c r="A117">
        <v>116</v>
      </c>
      <c r="B117" s="1" t="s">
        <v>20</v>
      </c>
      <c r="C117">
        <v>77</v>
      </c>
      <c r="D117" s="1" t="s">
        <v>14</v>
      </c>
      <c r="E117" s="1" t="s">
        <v>15</v>
      </c>
      <c r="F117" s="1" t="s">
        <v>23</v>
      </c>
      <c r="G117" s="2">
        <v>45084</v>
      </c>
      <c r="H117">
        <v>10</v>
      </c>
      <c r="I117">
        <v>46476</v>
      </c>
      <c r="J117" s="1" t="s">
        <v>24</v>
      </c>
    </row>
    <row r="118" spans="1:10" x14ac:dyDescent="0.25">
      <c r="A118">
        <v>117</v>
      </c>
      <c r="B118" s="1" t="s">
        <v>13</v>
      </c>
      <c r="C118">
        <v>43</v>
      </c>
      <c r="D118" s="1" t="s">
        <v>45</v>
      </c>
      <c r="E118" s="1" t="s">
        <v>27</v>
      </c>
      <c r="F118" s="1" t="s">
        <v>16</v>
      </c>
      <c r="G118" s="2">
        <v>45228</v>
      </c>
      <c r="H118">
        <v>12</v>
      </c>
      <c r="I118">
        <v>47710</v>
      </c>
      <c r="J118" s="1" t="s">
        <v>39</v>
      </c>
    </row>
    <row r="119" spans="1:10" x14ac:dyDescent="0.25">
      <c r="A119">
        <v>118</v>
      </c>
      <c r="B119" s="1" t="s">
        <v>20</v>
      </c>
      <c r="C119">
        <v>75</v>
      </c>
      <c r="D119" s="1" t="s">
        <v>45</v>
      </c>
      <c r="E119" s="1" t="s">
        <v>15</v>
      </c>
      <c r="F119" s="1" t="s">
        <v>32</v>
      </c>
      <c r="G119" s="2">
        <v>44972</v>
      </c>
      <c r="H119">
        <v>11</v>
      </c>
      <c r="I119">
        <v>11968</v>
      </c>
      <c r="J119" s="1" t="s">
        <v>39</v>
      </c>
    </row>
    <row r="120" spans="1:10" x14ac:dyDescent="0.25">
      <c r="A120">
        <v>119</v>
      </c>
      <c r="B120" s="1" t="s">
        <v>20</v>
      </c>
      <c r="C120">
        <v>23</v>
      </c>
      <c r="D120" s="1" t="s">
        <v>45</v>
      </c>
      <c r="E120" s="1" t="s">
        <v>22</v>
      </c>
      <c r="F120" s="1" t="s">
        <v>28</v>
      </c>
      <c r="G120" s="2">
        <v>45068</v>
      </c>
      <c r="H120">
        <v>14</v>
      </c>
      <c r="I120">
        <v>4462</v>
      </c>
      <c r="J120" s="1" t="s">
        <v>39</v>
      </c>
    </row>
    <row r="121" spans="1:10" x14ac:dyDescent="0.25">
      <c r="A121">
        <v>120</v>
      </c>
      <c r="B121" s="1" t="s">
        <v>13</v>
      </c>
      <c r="C121">
        <v>55</v>
      </c>
      <c r="D121" s="1" t="s">
        <v>45</v>
      </c>
      <c r="E121" s="1" t="s">
        <v>27</v>
      </c>
      <c r="F121" s="1" t="s">
        <v>23</v>
      </c>
      <c r="G121" s="2">
        <v>45057</v>
      </c>
      <c r="H121">
        <v>7</v>
      </c>
      <c r="I121">
        <v>11460</v>
      </c>
      <c r="J121" s="1" t="s">
        <v>24</v>
      </c>
    </row>
    <row r="122" spans="1:10" x14ac:dyDescent="0.25">
      <c r="A122">
        <v>121</v>
      </c>
      <c r="B122" s="1" t="s">
        <v>20</v>
      </c>
      <c r="C122">
        <v>80</v>
      </c>
      <c r="D122" s="1" t="s">
        <v>34</v>
      </c>
      <c r="E122" s="1" t="s">
        <v>22</v>
      </c>
      <c r="F122" s="1" t="s">
        <v>23</v>
      </c>
      <c r="G122" s="2">
        <v>45275</v>
      </c>
      <c r="H122">
        <v>7</v>
      </c>
      <c r="I122">
        <v>35783</v>
      </c>
      <c r="J122" s="1" t="s">
        <v>24</v>
      </c>
    </row>
    <row r="123" spans="1:10" x14ac:dyDescent="0.25">
      <c r="A123">
        <v>122</v>
      </c>
      <c r="B123" s="1" t="s">
        <v>13</v>
      </c>
      <c r="C123">
        <v>75</v>
      </c>
      <c r="D123" s="1" t="s">
        <v>30</v>
      </c>
      <c r="E123" s="1" t="s">
        <v>27</v>
      </c>
      <c r="F123" s="1" t="s">
        <v>28</v>
      </c>
      <c r="G123" s="2">
        <v>45113</v>
      </c>
      <c r="H123">
        <v>6</v>
      </c>
      <c r="I123">
        <v>11275</v>
      </c>
      <c r="J123" s="1" t="s">
        <v>24</v>
      </c>
    </row>
    <row r="124" spans="1:10" x14ac:dyDescent="0.25">
      <c r="A124">
        <v>123</v>
      </c>
      <c r="B124" s="1" t="s">
        <v>20</v>
      </c>
      <c r="C124">
        <v>16</v>
      </c>
      <c r="D124" s="1" t="s">
        <v>21</v>
      </c>
      <c r="E124" s="1" t="s">
        <v>22</v>
      </c>
      <c r="F124" s="1" t="s">
        <v>16</v>
      </c>
      <c r="G124" s="2">
        <v>45180</v>
      </c>
      <c r="H124">
        <v>3</v>
      </c>
      <c r="I124">
        <v>30677</v>
      </c>
      <c r="J124" s="1" t="s">
        <v>24</v>
      </c>
    </row>
    <row r="125" spans="1:10" x14ac:dyDescent="0.25">
      <c r="A125">
        <v>124</v>
      </c>
      <c r="B125" s="1" t="s">
        <v>13</v>
      </c>
      <c r="C125">
        <v>8</v>
      </c>
      <c r="D125" s="1" t="s">
        <v>37</v>
      </c>
      <c r="E125" s="1" t="s">
        <v>35</v>
      </c>
      <c r="F125" s="1" t="s">
        <v>16</v>
      </c>
      <c r="G125" s="2">
        <v>45148</v>
      </c>
      <c r="H125">
        <v>6</v>
      </c>
      <c r="I125">
        <v>15269</v>
      </c>
      <c r="J125" s="1" t="s">
        <v>24</v>
      </c>
    </row>
    <row r="126" spans="1:10" x14ac:dyDescent="0.25">
      <c r="A126">
        <v>125</v>
      </c>
      <c r="B126" s="1" t="s">
        <v>13</v>
      </c>
      <c r="C126">
        <v>4</v>
      </c>
      <c r="D126" s="1" t="s">
        <v>21</v>
      </c>
      <c r="E126" s="1" t="s">
        <v>22</v>
      </c>
      <c r="F126" s="1" t="s">
        <v>16</v>
      </c>
      <c r="G126" s="2">
        <v>44947</v>
      </c>
      <c r="H126">
        <v>14</v>
      </c>
      <c r="I126">
        <v>2406</v>
      </c>
      <c r="J126" s="1" t="s">
        <v>39</v>
      </c>
    </row>
    <row r="127" spans="1:10" x14ac:dyDescent="0.25">
      <c r="A127">
        <v>126</v>
      </c>
      <c r="B127" s="1" t="s">
        <v>20</v>
      </c>
      <c r="C127">
        <v>4</v>
      </c>
      <c r="D127" s="1" t="s">
        <v>21</v>
      </c>
      <c r="E127" s="1" t="s">
        <v>35</v>
      </c>
      <c r="F127" s="1" t="s">
        <v>32</v>
      </c>
      <c r="G127" s="2">
        <v>45072</v>
      </c>
      <c r="H127">
        <v>12</v>
      </c>
      <c r="I127">
        <v>9384</v>
      </c>
      <c r="J127" s="1" t="s">
        <v>24</v>
      </c>
    </row>
    <row r="128" spans="1:10" x14ac:dyDescent="0.25">
      <c r="A128">
        <v>127</v>
      </c>
      <c r="B128" s="1" t="s">
        <v>20</v>
      </c>
      <c r="C128">
        <v>56</v>
      </c>
      <c r="D128" s="1" t="s">
        <v>14</v>
      </c>
      <c r="E128" s="1" t="s">
        <v>22</v>
      </c>
      <c r="F128" s="1" t="s">
        <v>32</v>
      </c>
      <c r="G128" s="2">
        <v>45290</v>
      </c>
      <c r="H128">
        <v>8</v>
      </c>
      <c r="I128">
        <v>24553</v>
      </c>
      <c r="J128" s="1" t="s">
        <v>24</v>
      </c>
    </row>
    <row r="129" spans="1:10" x14ac:dyDescent="0.25">
      <c r="A129">
        <v>128</v>
      </c>
      <c r="B129" s="1" t="s">
        <v>13</v>
      </c>
      <c r="C129">
        <v>25</v>
      </c>
      <c r="D129" s="1" t="s">
        <v>30</v>
      </c>
      <c r="E129" s="1" t="s">
        <v>27</v>
      </c>
      <c r="F129" s="1" t="s">
        <v>23</v>
      </c>
      <c r="G129" s="2">
        <v>45029</v>
      </c>
      <c r="H129">
        <v>8</v>
      </c>
      <c r="I129">
        <v>26366</v>
      </c>
      <c r="J129" s="1" t="s">
        <v>24</v>
      </c>
    </row>
    <row r="130" spans="1:10" x14ac:dyDescent="0.25">
      <c r="A130">
        <v>129</v>
      </c>
      <c r="B130" s="1" t="s">
        <v>20</v>
      </c>
      <c r="C130">
        <v>67</v>
      </c>
      <c r="D130" s="1" t="s">
        <v>14</v>
      </c>
      <c r="E130" s="1" t="s">
        <v>27</v>
      </c>
      <c r="F130" s="1" t="s">
        <v>16</v>
      </c>
      <c r="G130" s="2">
        <v>45007</v>
      </c>
      <c r="H130">
        <v>11</v>
      </c>
      <c r="I130">
        <v>46036</v>
      </c>
      <c r="J130" s="1" t="s">
        <v>24</v>
      </c>
    </row>
    <row r="131" spans="1:10" x14ac:dyDescent="0.25">
      <c r="A131">
        <v>130</v>
      </c>
      <c r="B131" s="1" t="s">
        <v>20</v>
      </c>
      <c r="C131">
        <v>67</v>
      </c>
      <c r="D131" s="1" t="s">
        <v>30</v>
      </c>
      <c r="E131" s="1" t="s">
        <v>27</v>
      </c>
      <c r="F131" s="1" t="s">
        <v>28</v>
      </c>
      <c r="G131" s="2">
        <v>45124</v>
      </c>
      <c r="H131">
        <v>13</v>
      </c>
      <c r="I131">
        <v>19369</v>
      </c>
      <c r="J131" s="1" t="s">
        <v>24</v>
      </c>
    </row>
    <row r="132" spans="1:10" x14ac:dyDescent="0.25">
      <c r="A132">
        <v>131</v>
      </c>
      <c r="B132" s="1" t="s">
        <v>20</v>
      </c>
      <c r="C132">
        <v>27</v>
      </c>
      <c r="D132" s="1" t="s">
        <v>30</v>
      </c>
      <c r="E132" s="1" t="s">
        <v>31</v>
      </c>
      <c r="F132" s="1" t="s">
        <v>23</v>
      </c>
      <c r="G132" s="2">
        <v>45247</v>
      </c>
      <c r="H132">
        <v>9</v>
      </c>
      <c r="I132">
        <v>13795</v>
      </c>
      <c r="J132" s="1" t="s">
        <v>39</v>
      </c>
    </row>
    <row r="133" spans="1:10" x14ac:dyDescent="0.25">
      <c r="A133">
        <v>132</v>
      </c>
      <c r="B133" s="1" t="s">
        <v>13</v>
      </c>
      <c r="C133">
        <v>32</v>
      </c>
      <c r="D133" s="1" t="s">
        <v>45</v>
      </c>
      <c r="E133" s="1" t="s">
        <v>15</v>
      </c>
      <c r="F133" s="1" t="s">
        <v>28</v>
      </c>
      <c r="G133" s="2">
        <v>45156</v>
      </c>
      <c r="H133">
        <v>1</v>
      </c>
      <c r="I133">
        <v>6485</v>
      </c>
      <c r="J133" s="1" t="s">
        <v>24</v>
      </c>
    </row>
    <row r="134" spans="1:10" x14ac:dyDescent="0.25">
      <c r="A134">
        <v>133</v>
      </c>
      <c r="B134" s="1" t="s">
        <v>13</v>
      </c>
      <c r="C134">
        <v>50</v>
      </c>
      <c r="D134" s="1" t="s">
        <v>34</v>
      </c>
      <c r="E134" s="1" t="s">
        <v>27</v>
      </c>
      <c r="F134" s="1" t="s">
        <v>23</v>
      </c>
      <c r="G134" s="2">
        <v>45013</v>
      </c>
      <c r="H134">
        <v>14</v>
      </c>
      <c r="I134">
        <v>43669</v>
      </c>
      <c r="J134" s="1" t="s">
        <v>39</v>
      </c>
    </row>
    <row r="135" spans="1:10" x14ac:dyDescent="0.25">
      <c r="A135">
        <v>134</v>
      </c>
      <c r="B135" s="1" t="s">
        <v>13</v>
      </c>
      <c r="C135">
        <v>61</v>
      </c>
      <c r="D135" s="1" t="s">
        <v>45</v>
      </c>
      <c r="E135" s="1" t="s">
        <v>35</v>
      </c>
      <c r="F135" s="1" t="s">
        <v>32</v>
      </c>
      <c r="G135" s="2">
        <v>45075</v>
      </c>
      <c r="H135">
        <v>1</v>
      </c>
      <c r="I135">
        <v>4618</v>
      </c>
      <c r="J135" s="1" t="s">
        <v>39</v>
      </c>
    </row>
    <row r="136" spans="1:10" x14ac:dyDescent="0.25">
      <c r="A136">
        <v>135</v>
      </c>
      <c r="B136" s="1" t="s">
        <v>13</v>
      </c>
      <c r="C136">
        <v>51</v>
      </c>
      <c r="D136" s="1" t="s">
        <v>34</v>
      </c>
      <c r="E136" s="1" t="s">
        <v>27</v>
      </c>
      <c r="F136" s="1" t="s">
        <v>23</v>
      </c>
      <c r="G136" s="2">
        <v>45180</v>
      </c>
      <c r="H136">
        <v>3</v>
      </c>
      <c r="I136">
        <v>32143</v>
      </c>
      <c r="J136" s="1" t="s">
        <v>39</v>
      </c>
    </row>
    <row r="137" spans="1:10" x14ac:dyDescent="0.25">
      <c r="A137">
        <v>136</v>
      </c>
      <c r="B137" s="1" t="s">
        <v>13</v>
      </c>
      <c r="C137">
        <v>19</v>
      </c>
      <c r="D137" s="1" t="s">
        <v>14</v>
      </c>
      <c r="E137" s="1" t="s">
        <v>31</v>
      </c>
      <c r="F137" s="1" t="s">
        <v>32</v>
      </c>
      <c r="G137" s="2">
        <v>45017</v>
      </c>
      <c r="H137">
        <v>3</v>
      </c>
      <c r="I137">
        <v>31425</v>
      </c>
      <c r="J137" s="1" t="s">
        <v>24</v>
      </c>
    </row>
    <row r="138" spans="1:10" x14ac:dyDescent="0.25">
      <c r="A138">
        <v>137</v>
      </c>
      <c r="B138" s="1" t="s">
        <v>13</v>
      </c>
      <c r="C138">
        <v>21</v>
      </c>
      <c r="D138" s="1" t="s">
        <v>34</v>
      </c>
      <c r="E138" s="1" t="s">
        <v>35</v>
      </c>
      <c r="F138" s="1" t="s">
        <v>23</v>
      </c>
      <c r="G138" s="2">
        <v>45092</v>
      </c>
      <c r="H138">
        <v>10</v>
      </c>
      <c r="I138">
        <v>24673</v>
      </c>
      <c r="J138" s="1" t="s">
        <v>39</v>
      </c>
    </row>
    <row r="139" spans="1:10" x14ac:dyDescent="0.25">
      <c r="A139">
        <v>138</v>
      </c>
      <c r="B139" s="1" t="s">
        <v>13</v>
      </c>
      <c r="C139">
        <v>5</v>
      </c>
      <c r="D139" s="1" t="s">
        <v>14</v>
      </c>
      <c r="E139" s="1" t="s">
        <v>31</v>
      </c>
      <c r="F139" s="1" t="s">
        <v>16</v>
      </c>
      <c r="G139" s="2">
        <v>45065</v>
      </c>
      <c r="H139">
        <v>8</v>
      </c>
      <c r="I139">
        <v>11603</v>
      </c>
      <c r="J139" s="1" t="s">
        <v>24</v>
      </c>
    </row>
    <row r="140" spans="1:10" x14ac:dyDescent="0.25">
      <c r="A140">
        <v>139</v>
      </c>
      <c r="B140" s="1" t="s">
        <v>13</v>
      </c>
      <c r="C140">
        <v>82</v>
      </c>
      <c r="D140" s="1" t="s">
        <v>21</v>
      </c>
      <c r="E140" s="1" t="s">
        <v>35</v>
      </c>
      <c r="F140" s="1" t="s">
        <v>28</v>
      </c>
      <c r="G140" s="2">
        <v>45222</v>
      </c>
      <c r="H140">
        <v>10</v>
      </c>
      <c r="I140">
        <v>41696</v>
      </c>
      <c r="J140" s="1" t="s">
        <v>24</v>
      </c>
    </row>
    <row r="141" spans="1:10" x14ac:dyDescent="0.25">
      <c r="A141">
        <v>140</v>
      </c>
      <c r="B141" s="1" t="s">
        <v>13</v>
      </c>
      <c r="C141">
        <v>42</v>
      </c>
      <c r="D141" s="1" t="s">
        <v>21</v>
      </c>
      <c r="E141" s="1" t="s">
        <v>22</v>
      </c>
      <c r="F141" s="1" t="s">
        <v>16</v>
      </c>
      <c r="G141" s="2">
        <v>45094</v>
      </c>
      <c r="H141">
        <v>1</v>
      </c>
      <c r="I141">
        <v>7368</v>
      </c>
      <c r="J141" s="1" t="s">
        <v>24</v>
      </c>
    </row>
    <row r="142" spans="1:10" x14ac:dyDescent="0.25">
      <c r="A142">
        <v>141</v>
      </c>
      <c r="B142" s="1" t="s">
        <v>20</v>
      </c>
      <c r="C142">
        <v>61</v>
      </c>
      <c r="D142" s="1" t="s">
        <v>34</v>
      </c>
      <c r="E142" s="1" t="s">
        <v>15</v>
      </c>
      <c r="F142" s="1" t="s">
        <v>23</v>
      </c>
      <c r="G142" s="2">
        <v>45098</v>
      </c>
      <c r="H142">
        <v>13</v>
      </c>
      <c r="I142">
        <v>6621</v>
      </c>
      <c r="J142" s="1" t="s">
        <v>24</v>
      </c>
    </row>
    <row r="143" spans="1:10" x14ac:dyDescent="0.25">
      <c r="A143">
        <v>142</v>
      </c>
      <c r="B143" s="1" t="s">
        <v>13</v>
      </c>
      <c r="C143">
        <v>22</v>
      </c>
      <c r="D143" s="1" t="s">
        <v>34</v>
      </c>
      <c r="E143" s="1" t="s">
        <v>15</v>
      </c>
      <c r="F143" s="1" t="s">
        <v>23</v>
      </c>
      <c r="G143" s="2">
        <v>45136</v>
      </c>
      <c r="H143">
        <v>2</v>
      </c>
      <c r="I143">
        <v>16719</v>
      </c>
      <c r="J143" s="1" t="s">
        <v>24</v>
      </c>
    </row>
    <row r="144" spans="1:10" x14ac:dyDescent="0.25">
      <c r="A144">
        <v>143</v>
      </c>
      <c r="B144" s="1" t="s">
        <v>20</v>
      </c>
      <c r="C144">
        <v>21</v>
      </c>
      <c r="D144" s="1" t="s">
        <v>14</v>
      </c>
      <c r="E144" s="1" t="s">
        <v>31</v>
      </c>
      <c r="F144" s="1" t="s">
        <v>23</v>
      </c>
      <c r="G144" s="2">
        <v>45095</v>
      </c>
      <c r="H144">
        <v>2</v>
      </c>
      <c r="I144">
        <v>31227</v>
      </c>
      <c r="J144" s="1" t="s">
        <v>24</v>
      </c>
    </row>
    <row r="145" spans="1:10" x14ac:dyDescent="0.25">
      <c r="A145">
        <v>144</v>
      </c>
      <c r="B145" s="1" t="s">
        <v>20</v>
      </c>
      <c r="C145">
        <v>70</v>
      </c>
      <c r="D145" s="1" t="s">
        <v>45</v>
      </c>
      <c r="E145" s="1" t="s">
        <v>15</v>
      </c>
      <c r="F145" s="1" t="s">
        <v>32</v>
      </c>
      <c r="G145" s="2">
        <v>45138</v>
      </c>
      <c r="H145">
        <v>3</v>
      </c>
      <c r="I145">
        <v>45894</v>
      </c>
      <c r="J145" s="1" t="s">
        <v>24</v>
      </c>
    </row>
    <row r="146" spans="1:10" x14ac:dyDescent="0.25">
      <c r="A146">
        <v>145</v>
      </c>
      <c r="B146" s="1" t="s">
        <v>20</v>
      </c>
      <c r="C146">
        <v>1</v>
      </c>
      <c r="D146" s="1" t="s">
        <v>14</v>
      </c>
      <c r="E146" s="1" t="s">
        <v>31</v>
      </c>
      <c r="F146" s="1" t="s">
        <v>28</v>
      </c>
      <c r="G146" s="2">
        <v>45092</v>
      </c>
      <c r="H146">
        <v>13</v>
      </c>
      <c r="I146">
        <v>9566</v>
      </c>
      <c r="J146" s="1" t="s">
        <v>17</v>
      </c>
    </row>
    <row r="147" spans="1:10" x14ac:dyDescent="0.25">
      <c r="A147">
        <v>146</v>
      </c>
      <c r="B147" s="1" t="s">
        <v>13</v>
      </c>
      <c r="C147">
        <v>5</v>
      </c>
      <c r="D147" s="1" t="s">
        <v>45</v>
      </c>
      <c r="E147" s="1" t="s">
        <v>31</v>
      </c>
      <c r="F147" s="1" t="s">
        <v>28</v>
      </c>
      <c r="G147" s="2">
        <v>45276</v>
      </c>
      <c r="H147">
        <v>6</v>
      </c>
      <c r="I147">
        <v>14306</v>
      </c>
      <c r="J147" s="1" t="s">
        <v>24</v>
      </c>
    </row>
    <row r="148" spans="1:10" x14ac:dyDescent="0.25">
      <c r="A148">
        <v>147</v>
      </c>
      <c r="B148" s="1" t="s">
        <v>13</v>
      </c>
      <c r="C148">
        <v>12</v>
      </c>
      <c r="D148" s="1" t="s">
        <v>21</v>
      </c>
      <c r="E148" s="1" t="s">
        <v>31</v>
      </c>
      <c r="F148" s="1" t="s">
        <v>23</v>
      </c>
      <c r="G148" s="2">
        <v>44985</v>
      </c>
      <c r="H148">
        <v>1</v>
      </c>
      <c r="I148">
        <v>26042</v>
      </c>
      <c r="J148" s="1" t="s">
        <v>24</v>
      </c>
    </row>
    <row r="149" spans="1:10" x14ac:dyDescent="0.25">
      <c r="A149">
        <v>148</v>
      </c>
      <c r="B149" s="1" t="s">
        <v>13</v>
      </c>
      <c r="C149">
        <v>46</v>
      </c>
      <c r="D149" s="1" t="s">
        <v>30</v>
      </c>
      <c r="E149" s="1" t="s">
        <v>15</v>
      </c>
      <c r="F149" s="1" t="s">
        <v>23</v>
      </c>
      <c r="G149" s="2">
        <v>44968</v>
      </c>
      <c r="H149">
        <v>2</v>
      </c>
      <c r="I149">
        <v>17086</v>
      </c>
      <c r="J149" s="1" t="s">
        <v>24</v>
      </c>
    </row>
    <row r="150" spans="1:10" x14ac:dyDescent="0.25">
      <c r="A150">
        <v>149</v>
      </c>
      <c r="B150" s="1" t="s">
        <v>13</v>
      </c>
      <c r="C150">
        <v>34</v>
      </c>
      <c r="D150" s="1" t="s">
        <v>34</v>
      </c>
      <c r="E150" s="1" t="s">
        <v>31</v>
      </c>
      <c r="F150" s="1" t="s">
        <v>32</v>
      </c>
      <c r="G150" s="2">
        <v>45139</v>
      </c>
      <c r="H150">
        <v>13</v>
      </c>
      <c r="I150">
        <v>19387</v>
      </c>
      <c r="J150" s="1" t="s">
        <v>24</v>
      </c>
    </row>
    <row r="151" spans="1:10" x14ac:dyDescent="0.25">
      <c r="A151">
        <v>150</v>
      </c>
      <c r="B151" s="1" t="s">
        <v>20</v>
      </c>
      <c r="C151">
        <v>49</v>
      </c>
      <c r="D151" s="1" t="s">
        <v>45</v>
      </c>
      <c r="E151" s="1" t="s">
        <v>15</v>
      </c>
      <c r="F151" s="1" t="s">
        <v>16</v>
      </c>
      <c r="G151" s="2">
        <v>45222</v>
      </c>
      <c r="H151">
        <v>13</v>
      </c>
      <c r="I151">
        <v>29042</v>
      </c>
      <c r="J151" s="1" t="s">
        <v>17</v>
      </c>
    </row>
    <row r="152" spans="1:10" x14ac:dyDescent="0.25">
      <c r="A152">
        <v>151</v>
      </c>
      <c r="B152" s="1" t="s">
        <v>13</v>
      </c>
      <c r="C152">
        <v>78</v>
      </c>
      <c r="D152" s="1" t="s">
        <v>14</v>
      </c>
      <c r="E152" s="1" t="s">
        <v>31</v>
      </c>
      <c r="F152" s="1" t="s">
        <v>16</v>
      </c>
      <c r="G152" s="2">
        <v>45160</v>
      </c>
      <c r="H152">
        <v>1</v>
      </c>
      <c r="I152">
        <v>25888</v>
      </c>
      <c r="J152" s="1" t="s">
        <v>24</v>
      </c>
    </row>
    <row r="153" spans="1:10" x14ac:dyDescent="0.25">
      <c r="A153">
        <v>152</v>
      </c>
      <c r="B153" s="1" t="s">
        <v>13</v>
      </c>
      <c r="C153">
        <v>45</v>
      </c>
      <c r="D153" s="1" t="s">
        <v>21</v>
      </c>
      <c r="E153" s="1" t="s">
        <v>27</v>
      </c>
      <c r="F153" s="1" t="s">
        <v>28</v>
      </c>
      <c r="G153" s="2">
        <v>45056</v>
      </c>
      <c r="H153">
        <v>5</v>
      </c>
      <c r="I153">
        <v>28514</v>
      </c>
      <c r="J153" s="1" t="s">
        <v>24</v>
      </c>
    </row>
    <row r="154" spans="1:10" x14ac:dyDescent="0.25">
      <c r="A154">
        <v>153</v>
      </c>
      <c r="B154" s="1" t="s">
        <v>13</v>
      </c>
      <c r="C154">
        <v>27</v>
      </c>
      <c r="D154" s="1" t="s">
        <v>45</v>
      </c>
      <c r="E154" s="1" t="s">
        <v>31</v>
      </c>
      <c r="F154" s="1" t="s">
        <v>32</v>
      </c>
      <c r="G154" s="2">
        <v>45093</v>
      </c>
      <c r="H154">
        <v>13</v>
      </c>
      <c r="I154">
        <v>20323</v>
      </c>
      <c r="J154" s="1" t="s">
        <v>24</v>
      </c>
    </row>
    <row r="155" spans="1:10" x14ac:dyDescent="0.25">
      <c r="A155">
        <v>154</v>
      </c>
      <c r="B155" s="1" t="s">
        <v>13</v>
      </c>
      <c r="C155">
        <v>73</v>
      </c>
      <c r="D155" s="1" t="s">
        <v>14</v>
      </c>
      <c r="E155" s="1" t="s">
        <v>35</v>
      </c>
      <c r="F155" s="1" t="s">
        <v>23</v>
      </c>
      <c r="G155" s="2">
        <v>45223</v>
      </c>
      <c r="H155">
        <v>13</v>
      </c>
      <c r="I155">
        <v>20019</v>
      </c>
      <c r="J155" s="1" t="s">
        <v>17</v>
      </c>
    </row>
    <row r="156" spans="1:10" x14ac:dyDescent="0.25">
      <c r="A156">
        <v>155</v>
      </c>
      <c r="B156" s="1" t="s">
        <v>13</v>
      </c>
      <c r="C156">
        <v>26</v>
      </c>
      <c r="D156" s="1" t="s">
        <v>34</v>
      </c>
      <c r="E156" s="1" t="s">
        <v>31</v>
      </c>
      <c r="F156" s="1" t="s">
        <v>28</v>
      </c>
      <c r="G156" s="2">
        <v>45249</v>
      </c>
      <c r="H156">
        <v>7</v>
      </c>
      <c r="I156">
        <v>11890</v>
      </c>
      <c r="J156" s="1" t="s">
        <v>24</v>
      </c>
    </row>
    <row r="157" spans="1:10" x14ac:dyDescent="0.25">
      <c r="A157">
        <v>156</v>
      </c>
      <c r="B157" s="1" t="s">
        <v>20</v>
      </c>
      <c r="C157">
        <v>47</v>
      </c>
      <c r="D157" s="1" t="s">
        <v>34</v>
      </c>
      <c r="E157" s="1" t="s">
        <v>22</v>
      </c>
      <c r="F157" s="1" t="s">
        <v>32</v>
      </c>
      <c r="G157" s="2">
        <v>45088</v>
      </c>
      <c r="H157">
        <v>8</v>
      </c>
      <c r="I157">
        <v>42863</v>
      </c>
      <c r="J157" s="1" t="s">
        <v>39</v>
      </c>
    </row>
    <row r="158" spans="1:10" x14ac:dyDescent="0.25">
      <c r="A158">
        <v>157</v>
      </c>
      <c r="B158" s="1" t="s">
        <v>13</v>
      </c>
      <c r="C158">
        <v>86</v>
      </c>
      <c r="D158" s="1" t="s">
        <v>37</v>
      </c>
      <c r="E158" s="1" t="s">
        <v>31</v>
      </c>
      <c r="F158" s="1" t="s">
        <v>16</v>
      </c>
      <c r="G158" s="2">
        <v>44989</v>
      </c>
      <c r="H158">
        <v>10</v>
      </c>
      <c r="I158">
        <v>47487</v>
      </c>
      <c r="J158" s="1" t="s">
        <v>24</v>
      </c>
    </row>
    <row r="159" spans="1:10" x14ac:dyDescent="0.25">
      <c r="A159">
        <v>158</v>
      </c>
      <c r="B159" s="1" t="s">
        <v>20</v>
      </c>
      <c r="C159">
        <v>56</v>
      </c>
      <c r="D159" s="1" t="s">
        <v>30</v>
      </c>
      <c r="E159" s="1" t="s">
        <v>35</v>
      </c>
      <c r="F159" s="1" t="s">
        <v>32</v>
      </c>
      <c r="G159" s="2">
        <v>45147</v>
      </c>
      <c r="H159">
        <v>1</v>
      </c>
      <c r="I159">
        <v>12283</v>
      </c>
      <c r="J159" s="1" t="s">
        <v>24</v>
      </c>
    </row>
    <row r="160" spans="1:10" x14ac:dyDescent="0.25">
      <c r="A160">
        <v>159</v>
      </c>
      <c r="B160" s="1" t="s">
        <v>13</v>
      </c>
      <c r="C160">
        <v>63</v>
      </c>
      <c r="D160" s="1" t="s">
        <v>37</v>
      </c>
      <c r="E160" s="1" t="s">
        <v>35</v>
      </c>
      <c r="F160" s="1" t="s">
        <v>16</v>
      </c>
      <c r="G160" s="2">
        <v>45019</v>
      </c>
      <c r="H160">
        <v>7</v>
      </c>
      <c r="I160">
        <v>20279</v>
      </c>
      <c r="J160" s="1" t="s">
        <v>24</v>
      </c>
    </row>
    <row r="161" spans="1:10" x14ac:dyDescent="0.25">
      <c r="A161">
        <v>160</v>
      </c>
      <c r="B161" s="1" t="s">
        <v>20</v>
      </c>
      <c r="C161">
        <v>48</v>
      </c>
      <c r="D161" s="1" t="s">
        <v>21</v>
      </c>
      <c r="E161" s="1" t="s">
        <v>15</v>
      </c>
      <c r="F161" s="1" t="s">
        <v>32</v>
      </c>
      <c r="G161" s="2">
        <v>45116</v>
      </c>
      <c r="H161">
        <v>13</v>
      </c>
      <c r="I161">
        <v>48999</v>
      </c>
      <c r="J161" s="1" t="s">
        <v>39</v>
      </c>
    </row>
    <row r="162" spans="1:10" x14ac:dyDescent="0.25">
      <c r="A162">
        <v>161</v>
      </c>
      <c r="B162" s="1" t="s">
        <v>13</v>
      </c>
      <c r="C162">
        <v>61</v>
      </c>
      <c r="D162" s="1" t="s">
        <v>45</v>
      </c>
      <c r="E162" s="1" t="s">
        <v>27</v>
      </c>
      <c r="F162" s="1" t="s">
        <v>28</v>
      </c>
      <c r="G162" s="2">
        <v>45058</v>
      </c>
      <c r="H162">
        <v>5</v>
      </c>
      <c r="I162">
        <v>24908</v>
      </c>
      <c r="J162" s="1" t="s">
        <v>24</v>
      </c>
    </row>
    <row r="163" spans="1:10" x14ac:dyDescent="0.25">
      <c r="A163">
        <v>162</v>
      </c>
      <c r="B163" s="1" t="s">
        <v>13</v>
      </c>
      <c r="C163">
        <v>81</v>
      </c>
      <c r="D163" s="1" t="s">
        <v>21</v>
      </c>
      <c r="E163" s="1" t="s">
        <v>31</v>
      </c>
      <c r="F163" s="1" t="s">
        <v>16</v>
      </c>
      <c r="G163" s="2">
        <v>45248</v>
      </c>
      <c r="H163">
        <v>10</v>
      </c>
      <c r="I163">
        <v>49466</v>
      </c>
      <c r="J163" s="1" t="s">
        <v>24</v>
      </c>
    </row>
    <row r="164" spans="1:10" x14ac:dyDescent="0.25">
      <c r="A164">
        <v>163</v>
      </c>
      <c r="B164" s="1" t="s">
        <v>20</v>
      </c>
      <c r="C164">
        <v>26</v>
      </c>
      <c r="D164" s="1" t="s">
        <v>14</v>
      </c>
      <c r="E164" s="1" t="s">
        <v>15</v>
      </c>
      <c r="F164" s="1" t="s">
        <v>28</v>
      </c>
      <c r="G164" s="2">
        <v>45062</v>
      </c>
      <c r="H164">
        <v>1</v>
      </c>
      <c r="I164">
        <v>39952</v>
      </c>
      <c r="J164" s="1" t="s">
        <v>24</v>
      </c>
    </row>
    <row r="165" spans="1:10" x14ac:dyDescent="0.25">
      <c r="A165">
        <v>164</v>
      </c>
      <c r="B165" s="1" t="s">
        <v>20</v>
      </c>
      <c r="C165">
        <v>36</v>
      </c>
      <c r="D165" s="1" t="s">
        <v>34</v>
      </c>
      <c r="E165" s="1" t="s">
        <v>27</v>
      </c>
      <c r="F165" s="1" t="s">
        <v>28</v>
      </c>
      <c r="G165" s="2">
        <v>45126</v>
      </c>
      <c r="H165">
        <v>3</v>
      </c>
      <c r="I165">
        <v>37170</v>
      </c>
      <c r="J165" s="1" t="s">
        <v>24</v>
      </c>
    </row>
    <row r="166" spans="1:10" x14ac:dyDescent="0.25">
      <c r="A166">
        <v>165</v>
      </c>
      <c r="B166" s="1" t="s">
        <v>20</v>
      </c>
      <c r="C166">
        <v>1</v>
      </c>
      <c r="D166" s="1" t="s">
        <v>37</v>
      </c>
      <c r="E166" s="1" t="s">
        <v>31</v>
      </c>
      <c r="F166" s="1" t="s">
        <v>16</v>
      </c>
      <c r="G166" s="2">
        <v>44941</v>
      </c>
      <c r="H166">
        <v>7</v>
      </c>
      <c r="I166">
        <v>39663</v>
      </c>
      <c r="J166" s="1" t="s">
        <v>24</v>
      </c>
    </row>
    <row r="167" spans="1:10" x14ac:dyDescent="0.25">
      <c r="A167">
        <v>166</v>
      </c>
      <c r="B167" s="1" t="s">
        <v>13</v>
      </c>
      <c r="C167">
        <v>8</v>
      </c>
      <c r="D167" s="1" t="s">
        <v>37</v>
      </c>
      <c r="E167" s="1" t="s">
        <v>22</v>
      </c>
      <c r="F167" s="1" t="s">
        <v>16</v>
      </c>
      <c r="G167" s="2">
        <v>45284</v>
      </c>
      <c r="H167">
        <v>10</v>
      </c>
      <c r="I167">
        <v>46172</v>
      </c>
      <c r="J167" s="1" t="s">
        <v>17</v>
      </c>
    </row>
    <row r="168" spans="1:10" x14ac:dyDescent="0.25">
      <c r="A168">
        <v>167</v>
      </c>
      <c r="B168" s="1" t="s">
        <v>20</v>
      </c>
      <c r="C168">
        <v>52</v>
      </c>
      <c r="D168" s="1" t="s">
        <v>37</v>
      </c>
      <c r="E168" s="1" t="s">
        <v>31</v>
      </c>
      <c r="F168" s="1" t="s">
        <v>23</v>
      </c>
      <c r="G168" s="2">
        <v>45067</v>
      </c>
      <c r="H168">
        <v>1</v>
      </c>
      <c r="I168">
        <v>49929</v>
      </c>
      <c r="J168" s="1" t="s">
        <v>24</v>
      </c>
    </row>
    <row r="169" spans="1:10" x14ac:dyDescent="0.25">
      <c r="A169">
        <v>168</v>
      </c>
      <c r="B169" s="1" t="s">
        <v>13</v>
      </c>
      <c r="C169">
        <v>79</v>
      </c>
      <c r="D169" s="1" t="s">
        <v>21</v>
      </c>
      <c r="E169" s="1" t="s">
        <v>35</v>
      </c>
      <c r="F169" s="1" t="s">
        <v>23</v>
      </c>
      <c r="G169" s="2">
        <v>45185</v>
      </c>
      <c r="H169">
        <v>7</v>
      </c>
      <c r="I169">
        <v>11343</v>
      </c>
      <c r="J169" s="1" t="s">
        <v>24</v>
      </c>
    </row>
    <row r="170" spans="1:10" x14ac:dyDescent="0.25">
      <c r="A170">
        <v>169</v>
      </c>
      <c r="B170" s="1" t="s">
        <v>13</v>
      </c>
      <c r="C170">
        <v>47</v>
      </c>
      <c r="D170" s="1" t="s">
        <v>34</v>
      </c>
      <c r="E170" s="1" t="s">
        <v>35</v>
      </c>
      <c r="F170" s="1" t="s">
        <v>23</v>
      </c>
      <c r="G170" s="2">
        <v>44968</v>
      </c>
      <c r="H170">
        <v>5</v>
      </c>
      <c r="I170">
        <v>12637</v>
      </c>
      <c r="J170" s="1" t="s">
        <v>39</v>
      </c>
    </row>
    <row r="171" spans="1:10" x14ac:dyDescent="0.25">
      <c r="A171">
        <v>170</v>
      </c>
      <c r="B171" s="1" t="s">
        <v>20</v>
      </c>
      <c r="C171">
        <v>56</v>
      </c>
      <c r="D171" s="1" t="s">
        <v>45</v>
      </c>
      <c r="E171" s="1" t="s">
        <v>22</v>
      </c>
      <c r="F171" s="1" t="s">
        <v>28</v>
      </c>
      <c r="G171" s="2">
        <v>45024</v>
      </c>
      <c r="H171">
        <v>1</v>
      </c>
      <c r="I171">
        <v>36724</v>
      </c>
      <c r="J171" s="1" t="s">
        <v>24</v>
      </c>
    </row>
    <row r="172" spans="1:10" x14ac:dyDescent="0.25">
      <c r="A172">
        <v>171</v>
      </c>
      <c r="B172" s="1" t="s">
        <v>20</v>
      </c>
      <c r="C172">
        <v>86</v>
      </c>
      <c r="D172" s="1" t="s">
        <v>14</v>
      </c>
      <c r="E172" s="1" t="s">
        <v>15</v>
      </c>
      <c r="F172" s="1" t="s">
        <v>28</v>
      </c>
      <c r="G172" s="2">
        <v>45272</v>
      </c>
      <c r="H172">
        <v>1</v>
      </c>
      <c r="I172">
        <v>41791</v>
      </c>
      <c r="J172" s="1" t="s">
        <v>24</v>
      </c>
    </row>
    <row r="173" spans="1:10" x14ac:dyDescent="0.25">
      <c r="A173">
        <v>172</v>
      </c>
      <c r="B173" s="1" t="s">
        <v>13</v>
      </c>
      <c r="C173">
        <v>14</v>
      </c>
      <c r="D173" s="1" t="s">
        <v>45</v>
      </c>
      <c r="E173" s="1" t="s">
        <v>27</v>
      </c>
      <c r="F173" s="1" t="s">
        <v>23</v>
      </c>
      <c r="G173" s="2">
        <v>45233</v>
      </c>
      <c r="H173">
        <v>14</v>
      </c>
      <c r="I173">
        <v>31134</v>
      </c>
      <c r="J173" s="1" t="s">
        <v>24</v>
      </c>
    </row>
    <row r="174" spans="1:10" x14ac:dyDescent="0.25">
      <c r="A174">
        <v>173</v>
      </c>
      <c r="B174" s="1" t="s">
        <v>13</v>
      </c>
      <c r="C174">
        <v>28</v>
      </c>
      <c r="D174" s="1" t="s">
        <v>21</v>
      </c>
      <c r="E174" s="1" t="s">
        <v>31</v>
      </c>
      <c r="F174" s="1" t="s">
        <v>28</v>
      </c>
      <c r="G174" s="2">
        <v>45029</v>
      </c>
      <c r="H174">
        <v>1</v>
      </c>
      <c r="I174">
        <v>48830</v>
      </c>
      <c r="J174" s="1" t="s">
        <v>24</v>
      </c>
    </row>
    <row r="175" spans="1:10" x14ac:dyDescent="0.25">
      <c r="A175">
        <v>174</v>
      </c>
      <c r="B175" s="1" t="s">
        <v>20</v>
      </c>
      <c r="C175">
        <v>87</v>
      </c>
      <c r="D175" s="1" t="s">
        <v>14</v>
      </c>
      <c r="E175" s="1" t="s">
        <v>35</v>
      </c>
      <c r="F175" s="1" t="s">
        <v>28</v>
      </c>
      <c r="G175" s="2">
        <v>45091</v>
      </c>
      <c r="H175">
        <v>11</v>
      </c>
      <c r="I175">
        <v>49101</v>
      </c>
      <c r="J175" s="1" t="s">
        <v>24</v>
      </c>
    </row>
    <row r="176" spans="1:10" x14ac:dyDescent="0.25">
      <c r="A176">
        <v>175</v>
      </c>
      <c r="B176" s="1" t="s">
        <v>20</v>
      </c>
      <c r="C176">
        <v>78</v>
      </c>
      <c r="D176" s="1" t="s">
        <v>37</v>
      </c>
      <c r="E176" s="1" t="s">
        <v>15</v>
      </c>
      <c r="F176" s="1" t="s">
        <v>16</v>
      </c>
      <c r="G176" s="2">
        <v>44948</v>
      </c>
      <c r="H176">
        <v>9</v>
      </c>
      <c r="I176">
        <v>5907</v>
      </c>
      <c r="J176" s="1" t="s">
        <v>24</v>
      </c>
    </row>
    <row r="177" spans="1:10" x14ac:dyDescent="0.25">
      <c r="A177">
        <v>176</v>
      </c>
      <c r="B177" s="1" t="s">
        <v>20</v>
      </c>
      <c r="C177">
        <v>88</v>
      </c>
      <c r="D177" s="1" t="s">
        <v>30</v>
      </c>
      <c r="E177" s="1" t="s">
        <v>22</v>
      </c>
      <c r="F177" s="1" t="s">
        <v>16</v>
      </c>
      <c r="G177" s="2">
        <v>45220</v>
      </c>
      <c r="H177">
        <v>11</v>
      </c>
      <c r="I177">
        <v>35575</v>
      </c>
      <c r="J177" s="1" t="s">
        <v>24</v>
      </c>
    </row>
    <row r="178" spans="1:10" x14ac:dyDescent="0.25">
      <c r="A178">
        <v>177</v>
      </c>
      <c r="B178" s="1" t="s">
        <v>13</v>
      </c>
      <c r="C178">
        <v>2</v>
      </c>
      <c r="D178" s="1" t="s">
        <v>21</v>
      </c>
      <c r="E178" s="1" t="s">
        <v>35</v>
      </c>
      <c r="F178" s="1" t="s">
        <v>28</v>
      </c>
      <c r="G178" s="2">
        <v>45026</v>
      </c>
      <c r="H178">
        <v>13</v>
      </c>
      <c r="I178">
        <v>48799</v>
      </c>
      <c r="J178" s="1" t="s">
        <v>24</v>
      </c>
    </row>
    <row r="179" spans="1:10" x14ac:dyDescent="0.25">
      <c r="A179">
        <v>178</v>
      </c>
      <c r="B179" s="1" t="s">
        <v>13</v>
      </c>
      <c r="C179">
        <v>26</v>
      </c>
      <c r="D179" s="1" t="s">
        <v>21</v>
      </c>
      <c r="E179" s="1" t="s">
        <v>22</v>
      </c>
      <c r="F179" s="1" t="s">
        <v>23</v>
      </c>
      <c r="G179" s="2">
        <v>45237</v>
      </c>
      <c r="H179">
        <v>3</v>
      </c>
      <c r="I179">
        <v>6827</v>
      </c>
      <c r="J179" s="1" t="s">
        <v>17</v>
      </c>
    </row>
    <row r="180" spans="1:10" x14ac:dyDescent="0.25">
      <c r="A180">
        <v>179</v>
      </c>
      <c r="B180" s="1" t="s">
        <v>13</v>
      </c>
      <c r="C180">
        <v>14</v>
      </c>
      <c r="D180" s="1" t="s">
        <v>34</v>
      </c>
      <c r="E180" s="1" t="s">
        <v>31</v>
      </c>
      <c r="F180" s="1" t="s">
        <v>32</v>
      </c>
      <c r="G180" s="2">
        <v>45010</v>
      </c>
      <c r="H180">
        <v>13</v>
      </c>
      <c r="I180">
        <v>32607</v>
      </c>
      <c r="J180" s="1" t="s">
        <v>39</v>
      </c>
    </row>
    <row r="181" spans="1:10" x14ac:dyDescent="0.25">
      <c r="A181">
        <v>180</v>
      </c>
      <c r="B181" s="1" t="s">
        <v>13</v>
      </c>
      <c r="C181">
        <v>59</v>
      </c>
      <c r="D181" s="1" t="s">
        <v>45</v>
      </c>
      <c r="E181" s="1" t="s">
        <v>27</v>
      </c>
      <c r="F181" s="1" t="s">
        <v>23</v>
      </c>
      <c r="G181" s="2">
        <v>45150</v>
      </c>
      <c r="H181">
        <v>5</v>
      </c>
      <c r="I181">
        <v>15699</v>
      </c>
      <c r="J181" s="1" t="s">
        <v>39</v>
      </c>
    </row>
    <row r="182" spans="1:10" x14ac:dyDescent="0.25">
      <c r="A182">
        <v>181</v>
      </c>
      <c r="B182" s="1" t="s">
        <v>13</v>
      </c>
      <c r="C182">
        <v>56</v>
      </c>
      <c r="D182" s="1" t="s">
        <v>21</v>
      </c>
      <c r="E182" s="1" t="s">
        <v>35</v>
      </c>
      <c r="F182" s="1" t="s">
        <v>32</v>
      </c>
      <c r="G182" s="2">
        <v>45070</v>
      </c>
      <c r="H182">
        <v>11</v>
      </c>
      <c r="I182">
        <v>39292</v>
      </c>
      <c r="J182" s="1" t="s">
        <v>39</v>
      </c>
    </row>
    <row r="183" spans="1:10" x14ac:dyDescent="0.25">
      <c r="A183">
        <v>182</v>
      </c>
      <c r="B183" s="1" t="s">
        <v>13</v>
      </c>
      <c r="C183">
        <v>7</v>
      </c>
      <c r="D183" s="1" t="s">
        <v>21</v>
      </c>
      <c r="E183" s="1" t="s">
        <v>35</v>
      </c>
      <c r="F183" s="1" t="s">
        <v>23</v>
      </c>
      <c r="G183" s="2">
        <v>45221</v>
      </c>
      <c r="H183">
        <v>10</v>
      </c>
      <c r="I183">
        <v>49961</v>
      </c>
      <c r="J183" s="1" t="s">
        <v>24</v>
      </c>
    </row>
    <row r="184" spans="1:10" x14ac:dyDescent="0.25">
      <c r="A184">
        <v>183</v>
      </c>
      <c r="B184" s="1" t="s">
        <v>20</v>
      </c>
      <c r="C184">
        <v>3</v>
      </c>
      <c r="D184" s="1" t="s">
        <v>37</v>
      </c>
      <c r="E184" s="1" t="s">
        <v>31</v>
      </c>
      <c r="F184" s="1" t="s">
        <v>16</v>
      </c>
      <c r="G184" s="2">
        <v>45137</v>
      </c>
      <c r="H184">
        <v>12</v>
      </c>
      <c r="I184">
        <v>27883</v>
      </c>
      <c r="J184" s="1" t="s">
        <v>39</v>
      </c>
    </row>
    <row r="185" spans="1:10" x14ac:dyDescent="0.25">
      <c r="A185">
        <v>184</v>
      </c>
      <c r="B185" s="1" t="s">
        <v>13</v>
      </c>
      <c r="C185">
        <v>23</v>
      </c>
      <c r="D185" s="1" t="s">
        <v>37</v>
      </c>
      <c r="E185" s="1" t="s">
        <v>15</v>
      </c>
      <c r="F185" s="1" t="s">
        <v>28</v>
      </c>
      <c r="G185" s="2">
        <v>45200</v>
      </c>
      <c r="H185">
        <v>9</v>
      </c>
      <c r="I185">
        <v>7313</v>
      </c>
      <c r="J185" s="1" t="s">
        <v>24</v>
      </c>
    </row>
    <row r="186" spans="1:10" x14ac:dyDescent="0.25">
      <c r="A186">
        <v>185</v>
      </c>
      <c r="B186" s="1" t="s">
        <v>13</v>
      </c>
      <c r="C186">
        <v>18</v>
      </c>
      <c r="D186" s="1" t="s">
        <v>14</v>
      </c>
      <c r="E186" s="1" t="s">
        <v>27</v>
      </c>
      <c r="F186" s="1" t="s">
        <v>28</v>
      </c>
      <c r="G186" s="2">
        <v>45158</v>
      </c>
      <c r="H186">
        <v>6</v>
      </c>
      <c r="I186">
        <v>15598</v>
      </c>
      <c r="J186" s="1" t="s">
        <v>24</v>
      </c>
    </row>
    <row r="187" spans="1:10" x14ac:dyDescent="0.25">
      <c r="A187">
        <v>186</v>
      </c>
      <c r="B187" s="1" t="s">
        <v>13</v>
      </c>
      <c r="C187">
        <v>38</v>
      </c>
      <c r="D187" s="1" t="s">
        <v>30</v>
      </c>
      <c r="E187" s="1" t="s">
        <v>35</v>
      </c>
      <c r="F187" s="1" t="s">
        <v>16</v>
      </c>
      <c r="G187" s="2">
        <v>45245</v>
      </c>
      <c r="H187">
        <v>12</v>
      </c>
      <c r="I187">
        <v>47826</v>
      </c>
      <c r="J187" s="1" t="s">
        <v>24</v>
      </c>
    </row>
    <row r="188" spans="1:10" x14ac:dyDescent="0.25">
      <c r="A188">
        <v>187</v>
      </c>
      <c r="B188" s="1" t="s">
        <v>20</v>
      </c>
      <c r="C188">
        <v>15</v>
      </c>
      <c r="D188" s="1" t="s">
        <v>34</v>
      </c>
      <c r="E188" s="1" t="s">
        <v>27</v>
      </c>
      <c r="F188" s="1" t="s">
        <v>32</v>
      </c>
      <c r="G188" s="2">
        <v>45122</v>
      </c>
      <c r="H188">
        <v>9</v>
      </c>
      <c r="I188">
        <v>30807</v>
      </c>
      <c r="J188" s="1" t="s">
        <v>24</v>
      </c>
    </row>
    <row r="189" spans="1:10" x14ac:dyDescent="0.25">
      <c r="A189">
        <v>188</v>
      </c>
      <c r="B189" s="1" t="s">
        <v>13</v>
      </c>
      <c r="C189">
        <v>64</v>
      </c>
      <c r="D189" s="1" t="s">
        <v>30</v>
      </c>
      <c r="E189" s="1" t="s">
        <v>35</v>
      </c>
      <c r="F189" s="1" t="s">
        <v>32</v>
      </c>
      <c r="G189" s="2">
        <v>45219</v>
      </c>
      <c r="H189">
        <v>8</v>
      </c>
      <c r="I189">
        <v>6887</v>
      </c>
      <c r="J189" s="1" t="s">
        <v>39</v>
      </c>
    </row>
    <row r="190" spans="1:10" x14ac:dyDescent="0.25">
      <c r="A190">
        <v>189</v>
      </c>
      <c r="B190" s="1" t="s">
        <v>13</v>
      </c>
      <c r="C190">
        <v>89</v>
      </c>
      <c r="D190" s="1" t="s">
        <v>14</v>
      </c>
      <c r="E190" s="1" t="s">
        <v>27</v>
      </c>
      <c r="F190" s="1" t="s">
        <v>32</v>
      </c>
      <c r="G190" s="2">
        <v>45235</v>
      </c>
      <c r="H190">
        <v>8</v>
      </c>
      <c r="I190">
        <v>5854</v>
      </c>
      <c r="J190" s="1" t="s">
        <v>17</v>
      </c>
    </row>
    <row r="191" spans="1:10" x14ac:dyDescent="0.25">
      <c r="A191">
        <v>190</v>
      </c>
      <c r="B191" s="1" t="s">
        <v>20</v>
      </c>
      <c r="C191">
        <v>28</v>
      </c>
      <c r="D191" s="1" t="s">
        <v>37</v>
      </c>
      <c r="E191" s="1" t="s">
        <v>22</v>
      </c>
      <c r="F191" s="1" t="s">
        <v>16</v>
      </c>
      <c r="G191" s="2">
        <v>45105</v>
      </c>
      <c r="H191">
        <v>1</v>
      </c>
      <c r="I191">
        <v>47226</v>
      </c>
      <c r="J191" s="1" t="s">
        <v>24</v>
      </c>
    </row>
    <row r="192" spans="1:10" x14ac:dyDescent="0.25">
      <c r="A192">
        <v>191</v>
      </c>
      <c r="B192" s="1" t="s">
        <v>13</v>
      </c>
      <c r="C192">
        <v>74</v>
      </c>
      <c r="D192" s="1" t="s">
        <v>45</v>
      </c>
      <c r="E192" s="1" t="s">
        <v>35</v>
      </c>
      <c r="F192" s="1" t="s">
        <v>32</v>
      </c>
      <c r="G192" s="2">
        <v>45255</v>
      </c>
      <c r="H192">
        <v>13</v>
      </c>
      <c r="I192">
        <v>16536</v>
      </c>
      <c r="J192" s="1" t="s">
        <v>39</v>
      </c>
    </row>
    <row r="193" spans="1:10" x14ac:dyDescent="0.25">
      <c r="A193">
        <v>192</v>
      </c>
      <c r="B193" s="1" t="s">
        <v>13</v>
      </c>
      <c r="C193">
        <v>39</v>
      </c>
      <c r="D193" s="1" t="s">
        <v>37</v>
      </c>
      <c r="E193" s="1" t="s">
        <v>27</v>
      </c>
      <c r="F193" s="1" t="s">
        <v>16</v>
      </c>
      <c r="G193" s="2">
        <v>45178</v>
      </c>
      <c r="H193">
        <v>9</v>
      </c>
      <c r="I193">
        <v>5558</v>
      </c>
      <c r="J193" s="1" t="s">
        <v>24</v>
      </c>
    </row>
    <row r="194" spans="1:10" x14ac:dyDescent="0.25">
      <c r="A194">
        <v>193</v>
      </c>
      <c r="B194" s="1" t="s">
        <v>13</v>
      </c>
      <c r="C194">
        <v>57</v>
      </c>
      <c r="D194" s="1" t="s">
        <v>34</v>
      </c>
      <c r="E194" s="1" t="s">
        <v>15</v>
      </c>
      <c r="F194" s="1" t="s">
        <v>23</v>
      </c>
      <c r="G194" s="2">
        <v>45080</v>
      </c>
      <c r="H194">
        <v>6</v>
      </c>
      <c r="I194">
        <v>11772</v>
      </c>
      <c r="J194" s="1" t="s">
        <v>24</v>
      </c>
    </row>
    <row r="195" spans="1:10" x14ac:dyDescent="0.25">
      <c r="A195">
        <v>194</v>
      </c>
      <c r="B195" s="1" t="s">
        <v>13</v>
      </c>
      <c r="C195">
        <v>17</v>
      </c>
      <c r="D195" s="1" t="s">
        <v>37</v>
      </c>
      <c r="E195" s="1" t="s">
        <v>22</v>
      </c>
      <c r="F195" s="1" t="s">
        <v>23</v>
      </c>
      <c r="G195" s="2">
        <v>45284</v>
      </c>
      <c r="H195">
        <v>9</v>
      </c>
      <c r="I195">
        <v>38343</v>
      </c>
      <c r="J195" s="1" t="s">
        <v>24</v>
      </c>
    </row>
    <row r="196" spans="1:10" x14ac:dyDescent="0.25">
      <c r="A196">
        <v>195</v>
      </c>
      <c r="B196" s="1" t="s">
        <v>13</v>
      </c>
      <c r="C196">
        <v>86</v>
      </c>
      <c r="D196" s="1" t="s">
        <v>34</v>
      </c>
      <c r="E196" s="1" t="s">
        <v>22</v>
      </c>
      <c r="F196" s="1" t="s">
        <v>16</v>
      </c>
      <c r="G196" s="2">
        <v>44943</v>
      </c>
      <c r="H196">
        <v>3</v>
      </c>
      <c r="I196">
        <v>37186</v>
      </c>
      <c r="J196" s="1" t="s">
        <v>24</v>
      </c>
    </row>
    <row r="197" spans="1:10" x14ac:dyDescent="0.25">
      <c r="A197">
        <v>196</v>
      </c>
      <c r="B197" s="1" t="s">
        <v>20</v>
      </c>
      <c r="C197">
        <v>44</v>
      </c>
      <c r="D197" s="1" t="s">
        <v>34</v>
      </c>
      <c r="E197" s="1" t="s">
        <v>15</v>
      </c>
      <c r="F197" s="1" t="s">
        <v>28</v>
      </c>
      <c r="G197" s="2">
        <v>45032</v>
      </c>
      <c r="H197">
        <v>12</v>
      </c>
      <c r="I197">
        <v>38966</v>
      </c>
      <c r="J197" s="1" t="s">
        <v>17</v>
      </c>
    </row>
    <row r="198" spans="1:10" x14ac:dyDescent="0.25">
      <c r="A198">
        <v>197</v>
      </c>
      <c r="B198" s="1" t="s">
        <v>20</v>
      </c>
      <c r="C198">
        <v>25</v>
      </c>
      <c r="D198" s="1" t="s">
        <v>34</v>
      </c>
      <c r="E198" s="1" t="s">
        <v>27</v>
      </c>
      <c r="F198" s="1" t="s">
        <v>23</v>
      </c>
      <c r="G198" s="2">
        <v>44949</v>
      </c>
      <c r="H198">
        <v>3</v>
      </c>
      <c r="I198">
        <v>35769</v>
      </c>
      <c r="J198" s="1" t="s">
        <v>39</v>
      </c>
    </row>
    <row r="199" spans="1:10" x14ac:dyDescent="0.25">
      <c r="A199">
        <v>198</v>
      </c>
      <c r="B199" s="1" t="s">
        <v>20</v>
      </c>
      <c r="C199">
        <v>17</v>
      </c>
      <c r="D199" s="1" t="s">
        <v>14</v>
      </c>
      <c r="E199" s="1" t="s">
        <v>31</v>
      </c>
      <c r="F199" s="1" t="s">
        <v>32</v>
      </c>
      <c r="G199" s="2">
        <v>45147</v>
      </c>
      <c r="H199">
        <v>6</v>
      </c>
      <c r="I199">
        <v>41887</v>
      </c>
      <c r="J199" s="1" t="s">
        <v>39</v>
      </c>
    </row>
    <row r="200" spans="1:10" x14ac:dyDescent="0.25">
      <c r="A200">
        <v>199</v>
      </c>
      <c r="B200" s="1" t="s">
        <v>13</v>
      </c>
      <c r="C200">
        <v>13</v>
      </c>
      <c r="D200" s="1" t="s">
        <v>34</v>
      </c>
      <c r="E200" s="1" t="s">
        <v>15</v>
      </c>
      <c r="F200" s="1" t="s">
        <v>16</v>
      </c>
      <c r="G200" s="2">
        <v>45277</v>
      </c>
      <c r="H200">
        <v>9</v>
      </c>
      <c r="I200">
        <v>21229</v>
      </c>
      <c r="J200" s="1" t="s">
        <v>24</v>
      </c>
    </row>
    <row r="201" spans="1:10" x14ac:dyDescent="0.25">
      <c r="A201">
        <v>200</v>
      </c>
      <c r="B201" s="1" t="s">
        <v>13</v>
      </c>
      <c r="C201">
        <v>84</v>
      </c>
      <c r="D201" s="1" t="s">
        <v>34</v>
      </c>
      <c r="E201" s="1" t="s">
        <v>27</v>
      </c>
      <c r="F201" s="1" t="s">
        <v>32</v>
      </c>
      <c r="G201" s="2">
        <v>45164</v>
      </c>
      <c r="H201">
        <v>7</v>
      </c>
      <c r="I201">
        <v>11673</v>
      </c>
      <c r="J201" s="1" t="s">
        <v>17</v>
      </c>
    </row>
    <row r="202" spans="1:10" x14ac:dyDescent="0.25">
      <c r="A202">
        <v>201</v>
      </c>
      <c r="B202" s="1" t="s">
        <v>13</v>
      </c>
      <c r="C202">
        <v>25</v>
      </c>
      <c r="D202" s="1" t="s">
        <v>45</v>
      </c>
      <c r="E202" s="1" t="s">
        <v>15</v>
      </c>
      <c r="F202" s="1" t="s">
        <v>32</v>
      </c>
      <c r="G202" s="2">
        <v>44963</v>
      </c>
      <c r="H202">
        <v>14</v>
      </c>
      <c r="I202">
        <v>29877</v>
      </c>
      <c r="J202" s="1" t="s">
        <v>24</v>
      </c>
    </row>
    <row r="203" spans="1:10" x14ac:dyDescent="0.25">
      <c r="A203">
        <v>202</v>
      </c>
      <c r="B203" s="1" t="s">
        <v>20</v>
      </c>
      <c r="C203">
        <v>68</v>
      </c>
      <c r="D203" s="1" t="s">
        <v>30</v>
      </c>
      <c r="E203" s="1" t="s">
        <v>15</v>
      </c>
      <c r="F203" s="1" t="s">
        <v>28</v>
      </c>
      <c r="G203" s="2">
        <v>45175</v>
      </c>
      <c r="H203">
        <v>13</v>
      </c>
      <c r="I203">
        <v>33601</v>
      </c>
      <c r="J203" s="1" t="s">
        <v>39</v>
      </c>
    </row>
    <row r="204" spans="1:10" x14ac:dyDescent="0.25">
      <c r="A204">
        <v>203</v>
      </c>
      <c r="B204" s="1" t="s">
        <v>13</v>
      </c>
      <c r="C204">
        <v>10</v>
      </c>
      <c r="D204" s="1" t="s">
        <v>21</v>
      </c>
      <c r="E204" s="1" t="s">
        <v>35</v>
      </c>
      <c r="F204" s="1" t="s">
        <v>32</v>
      </c>
      <c r="G204" s="2">
        <v>44972</v>
      </c>
      <c r="H204">
        <v>3</v>
      </c>
      <c r="I204">
        <v>40084</v>
      </c>
      <c r="J204" s="1" t="s">
        <v>24</v>
      </c>
    </row>
    <row r="205" spans="1:10" x14ac:dyDescent="0.25">
      <c r="A205">
        <v>204</v>
      </c>
      <c r="B205" s="1" t="s">
        <v>13</v>
      </c>
      <c r="C205">
        <v>67</v>
      </c>
      <c r="D205" s="1" t="s">
        <v>30</v>
      </c>
      <c r="E205" s="1" t="s">
        <v>27</v>
      </c>
      <c r="F205" s="1" t="s">
        <v>28</v>
      </c>
      <c r="G205" s="2">
        <v>44992</v>
      </c>
      <c r="H205">
        <v>3</v>
      </c>
      <c r="I205">
        <v>18244</v>
      </c>
      <c r="J205" s="1" t="s">
        <v>24</v>
      </c>
    </row>
    <row r="206" spans="1:10" x14ac:dyDescent="0.25">
      <c r="A206">
        <v>205</v>
      </c>
      <c r="B206" s="1" t="s">
        <v>20</v>
      </c>
      <c r="C206">
        <v>18</v>
      </c>
      <c r="D206" s="1" t="s">
        <v>34</v>
      </c>
      <c r="E206" s="1" t="s">
        <v>31</v>
      </c>
      <c r="F206" s="1" t="s">
        <v>23</v>
      </c>
      <c r="G206" s="2">
        <v>45282</v>
      </c>
      <c r="H206">
        <v>2</v>
      </c>
      <c r="I206">
        <v>29356</v>
      </c>
      <c r="J206" s="1" t="s">
        <v>24</v>
      </c>
    </row>
    <row r="207" spans="1:10" x14ac:dyDescent="0.25">
      <c r="A207">
        <v>206</v>
      </c>
      <c r="B207" s="1" t="s">
        <v>13</v>
      </c>
      <c r="C207">
        <v>86</v>
      </c>
      <c r="D207" s="1" t="s">
        <v>45</v>
      </c>
      <c r="E207" s="1" t="s">
        <v>35</v>
      </c>
      <c r="F207" s="1" t="s">
        <v>16</v>
      </c>
      <c r="G207" s="2">
        <v>44938</v>
      </c>
      <c r="H207">
        <v>9</v>
      </c>
      <c r="I207">
        <v>18806</v>
      </c>
      <c r="J207" s="1" t="s">
        <v>24</v>
      </c>
    </row>
    <row r="208" spans="1:10" x14ac:dyDescent="0.25">
      <c r="A208">
        <v>207</v>
      </c>
      <c r="B208" s="1" t="s">
        <v>20</v>
      </c>
      <c r="C208">
        <v>34</v>
      </c>
      <c r="D208" s="1" t="s">
        <v>37</v>
      </c>
      <c r="E208" s="1" t="s">
        <v>15</v>
      </c>
      <c r="F208" s="1" t="s">
        <v>32</v>
      </c>
      <c r="G208" s="2">
        <v>45173</v>
      </c>
      <c r="H208">
        <v>13</v>
      </c>
      <c r="I208">
        <v>25099</v>
      </c>
      <c r="J208" s="1" t="s">
        <v>24</v>
      </c>
    </row>
    <row r="209" spans="1:10" x14ac:dyDescent="0.25">
      <c r="A209">
        <v>208</v>
      </c>
      <c r="B209" s="1" t="s">
        <v>20</v>
      </c>
      <c r="C209">
        <v>8</v>
      </c>
      <c r="D209" s="1" t="s">
        <v>45</v>
      </c>
      <c r="E209" s="1" t="s">
        <v>15</v>
      </c>
      <c r="F209" s="1" t="s">
        <v>16</v>
      </c>
      <c r="G209" s="2">
        <v>45244</v>
      </c>
      <c r="H209">
        <v>3</v>
      </c>
      <c r="I209">
        <v>46641</v>
      </c>
      <c r="J209" s="1" t="s">
        <v>24</v>
      </c>
    </row>
    <row r="210" spans="1:10" x14ac:dyDescent="0.25">
      <c r="A210">
        <v>209</v>
      </c>
      <c r="B210" s="1" t="s">
        <v>20</v>
      </c>
      <c r="C210">
        <v>40</v>
      </c>
      <c r="D210" s="1" t="s">
        <v>34</v>
      </c>
      <c r="E210" s="1" t="s">
        <v>15</v>
      </c>
      <c r="F210" s="1" t="s">
        <v>32</v>
      </c>
      <c r="G210" s="2">
        <v>45222</v>
      </c>
      <c r="H210">
        <v>11</v>
      </c>
      <c r="I210">
        <v>39034</v>
      </c>
      <c r="J210" s="1" t="s">
        <v>24</v>
      </c>
    </row>
    <row r="211" spans="1:10" x14ac:dyDescent="0.25">
      <c r="A211">
        <v>210</v>
      </c>
      <c r="B211" s="1" t="s">
        <v>13</v>
      </c>
      <c r="C211">
        <v>83</v>
      </c>
      <c r="D211" s="1" t="s">
        <v>45</v>
      </c>
      <c r="E211" s="1" t="s">
        <v>27</v>
      </c>
      <c r="F211" s="1" t="s">
        <v>16</v>
      </c>
      <c r="G211" s="2">
        <v>44986</v>
      </c>
      <c r="H211">
        <v>5</v>
      </c>
      <c r="I211">
        <v>42317</v>
      </c>
      <c r="J211" s="1" t="s">
        <v>24</v>
      </c>
    </row>
    <row r="212" spans="1:10" x14ac:dyDescent="0.25">
      <c r="A212">
        <v>211</v>
      </c>
      <c r="B212" s="1" t="s">
        <v>13</v>
      </c>
      <c r="C212">
        <v>42</v>
      </c>
      <c r="D212" s="1" t="s">
        <v>45</v>
      </c>
      <c r="E212" s="1" t="s">
        <v>27</v>
      </c>
      <c r="F212" s="1" t="s">
        <v>32</v>
      </c>
      <c r="G212" s="2">
        <v>44927</v>
      </c>
      <c r="H212">
        <v>14</v>
      </c>
      <c r="I212">
        <v>21094</v>
      </c>
      <c r="J212" s="1" t="s">
        <v>24</v>
      </c>
    </row>
    <row r="213" spans="1:10" x14ac:dyDescent="0.25">
      <c r="A213">
        <v>212</v>
      </c>
      <c r="B213" s="1" t="s">
        <v>13</v>
      </c>
      <c r="C213">
        <v>41</v>
      </c>
      <c r="D213" s="1" t="s">
        <v>34</v>
      </c>
      <c r="E213" s="1" t="s">
        <v>35</v>
      </c>
      <c r="F213" s="1" t="s">
        <v>32</v>
      </c>
      <c r="G213" s="2">
        <v>45218</v>
      </c>
      <c r="H213">
        <v>14</v>
      </c>
      <c r="I213">
        <v>12589</v>
      </c>
      <c r="J213" s="1" t="s">
        <v>24</v>
      </c>
    </row>
    <row r="214" spans="1:10" x14ac:dyDescent="0.25">
      <c r="A214">
        <v>213</v>
      </c>
      <c r="B214" s="1" t="s">
        <v>13</v>
      </c>
      <c r="C214">
        <v>6</v>
      </c>
      <c r="D214" s="1" t="s">
        <v>14</v>
      </c>
      <c r="E214" s="1" t="s">
        <v>31</v>
      </c>
      <c r="F214" s="1" t="s">
        <v>32</v>
      </c>
      <c r="G214" s="2">
        <v>45040</v>
      </c>
      <c r="H214">
        <v>9</v>
      </c>
      <c r="I214">
        <v>3657</v>
      </c>
      <c r="J214" s="1" t="s">
        <v>24</v>
      </c>
    </row>
    <row r="215" spans="1:10" x14ac:dyDescent="0.25">
      <c r="A215">
        <v>214</v>
      </c>
      <c r="B215" s="1" t="s">
        <v>13</v>
      </c>
      <c r="C215">
        <v>52</v>
      </c>
      <c r="D215" s="1" t="s">
        <v>45</v>
      </c>
      <c r="E215" s="1" t="s">
        <v>35</v>
      </c>
      <c r="F215" s="1" t="s">
        <v>32</v>
      </c>
      <c r="G215" s="2">
        <v>45099</v>
      </c>
      <c r="H215">
        <v>8</v>
      </c>
      <c r="I215">
        <v>34764</v>
      </c>
      <c r="J215" s="1" t="s">
        <v>24</v>
      </c>
    </row>
    <row r="216" spans="1:10" x14ac:dyDescent="0.25">
      <c r="A216">
        <v>215</v>
      </c>
      <c r="B216" s="1" t="s">
        <v>13</v>
      </c>
      <c r="C216">
        <v>26</v>
      </c>
      <c r="D216" s="1" t="s">
        <v>21</v>
      </c>
      <c r="E216" s="1" t="s">
        <v>22</v>
      </c>
      <c r="F216" s="1" t="s">
        <v>32</v>
      </c>
      <c r="G216" s="2">
        <v>45228</v>
      </c>
      <c r="H216">
        <v>2</v>
      </c>
      <c r="I216">
        <v>41531</v>
      </c>
      <c r="J216" s="1" t="s">
        <v>24</v>
      </c>
    </row>
    <row r="217" spans="1:10" x14ac:dyDescent="0.25">
      <c r="A217">
        <v>216</v>
      </c>
      <c r="B217" s="1" t="s">
        <v>13</v>
      </c>
      <c r="C217">
        <v>64</v>
      </c>
      <c r="D217" s="1" t="s">
        <v>21</v>
      </c>
      <c r="E217" s="1" t="s">
        <v>15</v>
      </c>
      <c r="F217" s="1" t="s">
        <v>32</v>
      </c>
      <c r="G217" s="2">
        <v>45214</v>
      </c>
      <c r="H217">
        <v>3</v>
      </c>
      <c r="I217">
        <v>5164</v>
      </c>
      <c r="J217" s="1" t="s">
        <v>17</v>
      </c>
    </row>
    <row r="218" spans="1:10" x14ac:dyDescent="0.25">
      <c r="A218">
        <v>217</v>
      </c>
      <c r="B218" s="1" t="s">
        <v>20</v>
      </c>
      <c r="C218">
        <v>59</v>
      </c>
      <c r="D218" s="1" t="s">
        <v>45</v>
      </c>
      <c r="E218" s="1" t="s">
        <v>15</v>
      </c>
      <c r="F218" s="1" t="s">
        <v>32</v>
      </c>
      <c r="G218" s="2">
        <v>44928</v>
      </c>
      <c r="H218">
        <v>2</v>
      </c>
      <c r="I218">
        <v>29542</v>
      </c>
      <c r="J218" s="1" t="s">
        <v>39</v>
      </c>
    </row>
    <row r="219" spans="1:10" x14ac:dyDescent="0.25">
      <c r="A219">
        <v>218</v>
      </c>
      <c r="B219" s="1" t="s">
        <v>13</v>
      </c>
      <c r="C219">
        <v>56</v>
      </c>
      <c r="D219" s="1" t="s">
        <v>14</v>
      </c>
      <c r="E219" s="1" t="s">
        <v>15</v>
      </c>
      <c r="F219" s="1" t="s">
        <v>32</v>
      </c>
      <c r="G219" s="2">
        <v>45275</v>
      </c>
      <c r="H219">
        <v>8</v>
      </c>
      <c r="I219">
        <v>20437</v>
      </c>
      <c r="J219" s="1" t="s">
        <v>24</v>
      </c>
    </row>
    <row r="220" spans="1:10" x14ac:dyDescent="0.25">
      <c r="A220">
        <v>219</v>
      </c>
      <c r="B220" s="1" t="s">
        <v>20</v>
      </c>
      <c r="C220">
        <v>59</v>
      </c>
      <c r="D220" s="1" t="s">
        <v>37</v>
      </c>
      <c r="E220" s="1" t="s">
        <v>35</v>
      </c>
      <c r="F220" s="1" t="s">
        <v>32</v>
      </c>
      <c r="G220" s="2">
        <v>45218</v>
      </c>
      <c r="H220">
        <v>6</v>
      </c>
      <c r="I220">
        <v>43247</v>
      </c>
      <c r="J220" s="1" t="s">
        <v>39</v>
      </c>
    </row>
    <row r="221" spans="1:10" x14ac:dyDescent="0.25">
      <c r="A221">
        <v>220</v>
      </c>
      <c r="B221" s="1" t="s">
        <v>13</v>
      </c>
      <c r="C221">
        <v>70</v>
      </c>
      <c r="D221" s="1" t="s">
        <v>34</v>
      </c>
      <c r="E221" s="1" t="s">
        <v>35</v>
      </c>
      <c r="F221" s="1" t="s">
        <v>16</v>
      </c>
      <c r="G221" s="2">
        <v>44978</v>
      </c>
      <c r="H221">
        <v>6</v>
      </c>
      <c r="I221">
        <v>40505</v>
      </c>
      <c r="J221" s="1" t="s">
        <v>39</v>
      </c>
    </row>
    <row r="222" spans="1:10" x14ac:dyDescent="0.25">
      <c r="A222">
        <v>221</v>
      </c>
      <c r="B222" s="1" t="s">
        <v>13</v>
      </c>
      <c r="C222">
        <v>33</v>
      </c>
      <c r="D222" s="1" t="s">
        <v>21</v>
      </c>
      <c r="E222" s="1" t="s">
        <v>15</v>
      </c>
      <c r="F222" s="1" t="s">
        <v>28</v>
      </c>
      <c r="G222" s="2">
        <v>45236</v>
      </c>
      <c r="H222">
        <v>12</v>
      </c>
      <c r="I222">
        <v>21601</v>
      </c>
      <c r="J222" s="1" t="s">
        <v>17</v>
      </c>
    </row>
    <row r="223" spans="1:10" x14ac:dyDescent="0.25">
      <c r="A223">
        <v>222</v>
      </c>
      <c r="B223" s="1" t="s">
        <v>13</v>
      </c>
      <c r="C223">
        <v>53</v>
      </c>
      <c r="D223" s="1" t="s">
        <v>37</v>
      </c>
      <c r="E223" s="1" t="s">
        <v>35</v>
      </c>
      <c r="F223" s="1" t="s">
        <v>32</v>
      </c>
      <c r="G223" s="2">
        <v>45027</v>
      </c>
      <c r="H223">
        <v>9</v>
      </c>
      <c r="I223">
        <v>30430</v>
      </c>
      <c r="J223" s="1" t="s">
        <v>24</v>
      </c>
    </row>
    <row r="224" spans="1:10" x14ac:dyDescent="0.25">
      <c r="A224">
        <v>223</v>
      </c>
      <c r="B224" s="1" t="s">
        <v>20</v>
      </c>
      <c r="C224">
        <v>22</v>
      </c>
      <c r="D224" s="1" t="s">
        <v>45</v>
      </c>
      <c r="E224" s="1" t="s">
        <v>27</v>
      </c>
      <c r="F224" s="1" t="s">
        <v>28</v>
      </c>
      <c r="G224" s="2">
        <v>45057</v>
      </c>
      <c r="H224">
        <v>8</v>
      </c>
      <c r="I224">
        <v>8009</v>
      </c>
      <c r="J224" s="1" t="s">
        <v>24</v>
      </c>
    </row>
    <row r="225" spans="1:10" x14ac:dyDescent="0.25">
      <c r="A225">
        <v>224</v>
      </c>
      <c r="B225" s="1" t="s">
        <v>20</v>
      </c>
      <c r="C225">
        <v>21</v>
      </c>
      <c r="D225" s="1" t="s">
        <v>37</v>
      </c>
      <c r="E225" s="1" t="s">
        <v>27</v>
      </c>
      <c r="F225" s="1" t="s">
        <v>32</v>
      </c>
      <c r="G225" s="2">
        <v>45050</v>
      </c>
      <c r="H225">
        <v>4</v>
      </c>
      <c r="I225">
        <v>6552</v>
      </c>
      <c r="J225" s="1" t="s">
        <v>24</v>
      </c>
    </row>
    <row r="226" spans="1:10" x14ac:dyDescent="0.25">
      <c r="A226">
        <v>225</v>
      </c>
      <c r="B226" s="1" t="s">
        <v>20</v>
      </c>
      <c r="C226">
        <v>70</v>
      </c>
      <c r="D226" s="1" t="s">
        <v>30</v>
      </c>
      <c r="E226" s="1" t="s">
        <v>35</v>
      </c>
      <c r="F226" s="1" t="s">
        <v>32</v>
      </c>
      <c r="G226" s="2">
        <v>45068</v>
      </c>
      <c r="H226">
        <v>12</v>
      </c>
      <c r="I226">
        <v>11417</v>
      </c>
      <c r="J226" s="1" t="s">
        <v>24</v>
      </c>
    </row>
    <row r="227" spans="1:10" x14ac:dyDescent="0.25">
      <c r="A227">
        <v>226</v>
      </c>
      <c r="B227" s="1" t="s">
        <v>20</v>
      </c>
      <c r="C227">
        <v>70</v>
      </c>
      <c r="D227" s="1" t="s">
        <v>21</v>
      </c>
      <c r="E227" s="1" t="s">
        <v>15</v>
      </c>
      <c r="F227" s="1" t="s">
        <v>16</v>
      </c>
      <c r="G227" s="2">
        <v>45236</v>
      </c>
      <c r="H227">
        <v>4</v>
      </c>
      <c r="I227">
        <v>43989</v>
      </c>
      <c r="J227" s="1" t="s">
        <v>24</v>
      </c>
    </row>
    <row r="228" spans="1:10" x14ac:dyDescent="0.25">
      <c r="A228">
        <v>227</v>
      </c>
      <c r="B228" s="1" t="s">
        <v>13</v>
      </c>
      <c r="C228">
        <v>4</v>
      </c>
      <c r="D228" s="1" t="s">
        <v>45</v>
      </c>
      <c r="E228" s="1" t="s">
        <v>35</v>
      </c>
      <c r="F228" s="1" t="s">
        <v>23</v>
      </c>
      <c r="G228" s="2">
        <v>45096</v>
      </c>
      <c r="H228">
        <v>9</v>
      </c>
      <c r="I228">
        <v>4671</v>
      </c>
      <c r="J228" s="1" t="s">
        <v>24</v>
      </c>
    </row>
    <row r="229" spans="1:10" x14ac:dyDescent="0.25">
      <c r="A229">
        <v>228</v>
      </c>
      <c r="B229" s="1" t="s">
        <v>20</v>
      </c>
      <c r="C229">
        <v>75</v>
      </c>
      <c r="D229" s="1" t="s">
        <v>34</v>
      </c>
      <c r="E229" s="1" t="s">
        <v>35</v>
      </c>
      <c r="F229" s="1" t="s">
        <v>23</v>
      </c>
      <c r="G229" s="2">
        <v>45268</v>
      </c>
      <c r="H229">
        <v>1</v>
      </c>
      <c r="I229">
        <v>8519</v>
      </c>
      <c r="J229" s="1" t="s">
        <v>39</v>
      </c>
    </row>
    <row r="230" spans="1:10" x14ac:dyDescent="0.25">
      <c r="A230">
        <v>229</v>
      </c>
      <c r="B230" s="1" t="s">
        <v>13</v>
      </c>
      <c r="C230">
        <v>62</v>
      </c>
      <c r="D230" s="1" t="s">
        <v>14</v>
      </c>
      <c r="E230" s="1" t="s">
        <v>35</v>
      </c>
      <c r="F230" s="1" t="s">
        <v>16</v>
      </c>
      <c r="G230" s="2">
        <v>45283</v>
      </c>
      <c r="H230">
        <v>13</v>
      </c>
      <c r="I230">
        <v>38730</v>
      </c>
      <c r="J230" s="1" t="s">
        <v>17</v>
      </c>
    </row>
    <row r="231" spans="1:10" x14ac:dyDescent="0.25">
      <c r="A231">
        <v>230</v>
      </c>
      <c r="B231" s="1" t="s">
        <v>13</v>
      </c>
      <c r="C231">
        <v>62</v>
      </c>
      <c r="D231" s="1" t="s">
        <v>45</v>
      </c>
      <c r="E231" s="1" t="s">
        <v>22</v>
      </c>
      <c r="F231" s="1" t="s">
        <v>28</v>
      </c>
      <c r="G231" s="2">
        <v>45164</v>
      </c>
      <c r="H231">
        <v>2</v>
      </c>
      <c r="I231">
        <v>14734</v>
      </c>
      <c r="J231" s="1" t="s">
        <v>24</v>
      </c>
    </row>
    <row r="232" spans="1:10" x14ac:dyDescent="0.25">
      <c r="A232">
        <v>231</v>
      </c>
      <c r="B232" s="1" t="s">
        <v>20</v>
      </c>
      <c r="C232">
        <v>24</v>
      </c>
      <c r="D232" s="1" t="s">
        <v>34</v>
      </c>
      <c r="E232" s="1" t="s">
        <v>27</v>
      </c>
      <c r="F232" s="1" t="s">
        <v>23</v>
      </c>
      <c r="G232" s="2">
        <v>45098</v>
      </c>
      <c r="H232">
        <v>2</v>
      </c>
      <c r="I232">
        <v>47890</v>
      </c>
      <c r="J232" s="1" t="s">
        <v>24</v>
      </c>
    </row>
    <row r="233" spans="1:10" x14ac:dyDescent="0.25">
      <c r="A233">
        <v>232</v>
      </c>
      <c r="B233" s="1" t="s">
        <v>20</v>
      </c>
      <c r="C233">
        <v>55</v>
      </c>
      <c r="D233" s="1" t="s">
        <v>14</v>
      </c>
      <c r="E233" s="1" t="s">
        <v>31</v>
      </c>
      <c r="F233" s="1" t="s">
        <v>16</v>
      </c>
      <c r="G233" s="2">
        <v>45202</v>
      </c>
      <c r="H233">
        <v>13</v>
      </c>
      <c r="I233">
        <v>5722</v>
      </c>
      <c r="J233" s="1" t="s">
        <v>24</v>
      </c>
    </row>
    <row r="234" spans="1:10" x14ac:dyDescent="0.25">
      <c r="A234">
        <v>233</v>
      </c>
      <c r="B234" s="1" t="s">
        <v>20</v>
      </c>
      <c r="C234">
        <v>9</v>
      </c>
      <c r="D234" s="1" t="s">
        <v>14</v>
      </c>
      <c r="E234" s="1" t="s">
        <v>31</v>
      </c>
      <c r="F234" s="1" t="s">
        <v>16</v>
      </c>
      <c r="G234" s="2">
        <v>45229</v>
      </c>
      <c r="H234">
        <v>13</v>
      </c>
      <c r="I234">
        <v>6906</v>
      </c>
      <c r="J234" s="1" t="s">
        <v>39</v>
      </c>
    </row>
    <row r="235" spans="1:10" x14ac:dyDescent="0.25">
      <c r="A235">
        <v>234</v>
      </c>
      <c r="B235" s="1" t="s">
        <v>20</v>
      </c>
      <c r="C235">
        <v>3</v>
      </c>
      <c r="D235" s="1" t="s">
        <v>45</v>
      </c>
      <c r="E235" s="1" t="s">
        <v>22</v>
      </c>
      <c r="F235" s="1" t="s">
        <v>23</v>
      </c>
      <c r="G235" s="2">
        <v>45288</v>
      </c>
      <c r="H235">
        <v>6</v>
      </c>
      <c r="I235">
        <v>32096</v>
      </c>
      <c r="J235" s="1" t="s">
        <v>24</v>
      </c>
    </row>
    <row r="236" spans="1:10" x14ac:dyDescent="0.25">
      <c r="A236">
        <v>235</v>
      </c>
      <c r="B236" s="1" t="s">
        <v>20</v>
      </c>
      <c r="C236">
        <v>31</v>
      </c>
      <c r="D236" s="1" t="s">
        <v>37</v>
      </c>
      <c r="E236" s="1" t="s">
        <v>35</v>
      </c>
      <c r="F236" s="1" t="s">
        <v>28</v>
      </c>
      <c r="G236" s="2">
        <v>45212</v>
      </c>
      <c r="H236">
        <v>4</v>
      </c>
      <c r="I236">
        <v>42031</v>
      </c>
      <c r="J236" s="1" t="s">
        <v>24</v>
      </c>
    </row>
    <row r="237" spans="1:10" x14ac:dyDescent="0.25">
      <c r="A237">
        <v>236</v>
      </c>
      <c r="B237" s="1" t="s">
        <v>20</v>
      </c>
      <c r="C237">
        <v>40</v>
      </c>
      <c r="D237" s="1" t="s">
        <v>37</v>
      </c>
      <c r="E237" s="1" t="s">
        <v>22</v>
      </c>
      <c r="F237" s="1" t="s">
        <v>16</v>
      </c>
      <c r="G237" s="2">
        <v>45026</v>
      </c>
      <c r="H237">
        <v>13</v>
      </c>
      <c r="I237">
        <v>15699</v>
      </c>
      <c r="J237" s="1" t="s">
        <v>24</v>
      </c>
    </row>
    <row r="238" spans="1:10" x14ac:dyDescent="0.25">
      <c r="A238">
        <v>237</v>
      </c>
      <c r="B238" s="1" t="s">
        <v>20</v>
      </c>
      <c r="C238">
        <v>36</v>
      </c>
      <c r="D238" s="1" t="s">
        <v>14</v>
      </c>
      <c r="E238" s="1" t="s">
        <v>22</v>
      </c>
      <c r="F238" s="1" t="s">
        <v>32</v>
      </c>
      <c r="G238" s="2">
        <v>44943</v>
      </c>
      <c r="H238">
        <v>11</v>
      </c>
      <c r="I238">
        <v>23438</v>
      </c>
      <c r="J238" s="1" t="s">
        <v>24</v>
      </c>
    </row>
    <row r="239" spans="1:10" x14ac:dyDescent="0.25">
      <c r="A239">
        <v>238</v>
      </c>
      <c r="B239" s="1" t="s">
        <v>20</v>
      </c>
      <c r="C239">
        <v>24</v>
      </c>
      <c r="D239" s="1" t="s">
        <v>37</v>
      </c>
      <c r="E239" s="1" t="s">
        <v>15</v>
      </c>
      <c r="F239" s="1" t="s">
        <v>28</v>
      </c>
      <c r="G239" s="2">
        <v>45054</v>
      </c>
      <c r="H239">
        <v>10</v>
      </c>
      <c r="I239">
        <v>45856</v>
      </c>
      <c r="J239" s="1" t="s">
        <v>24</v>
      </c>
    </row>
    <row r="240" spans="1:10" x14ac:dyDescent="0.25">
      <c r="A240">
        <v>239</v>
      </c>
      <c r="B240" s="1" t="s">
        <v>13</v>
      </c>
      <c r="C240">
        <v>6</v>
      </c>
      <c r="D240" s="1" t="s">
        <v>30</v>
      </c>
      <c r="E240" s="1" t="s">
        <v>27</v>
      </c>
      <c r="F240" s="1" t="s">
        <v>28</v>
      </c>
      <c r="G240" s="2">
        <v>45265</v>
      </c>
      <c r="H240">
        <v>13</v>
      </c>
      <c r="I240">
        <v>35576</v>
      </c>
      <c r="J240" s="1" t="s">
        <v>24</v>
      </c>
    </row>
    <row r="241" spans="1:10" x14ac:dyDescent="0.25">
      <c r="A241">
        <v>240</v>
      </c>
      <c r="B241" s="1" t="s">
        <v>20</v>
      </c>
      <c r="C241">
        <v>66</v>
      </c>
      <c r="D241" s="1" t="s">
        <v>14</v>
      </c>
      <c r="E241" s="1" t="s">
        <v>31</v>
      </c>
      <c r="F241" s="1" t="s">
        <v>23</v>
      </c>
      <c r="G241" s="2">
        <v>45292</v>
      </c>
      <c r="H241">
        <v>3</v>
      </c>
      <c r="I241">
        <v>43938</v>
      </c>
      <c r="J241" s="1" t="s">
        <v>39</v>
      </c>
    </row>
    <row r="242" spans="1:10" x14ac:dyDescent="0.25">
      <c r="A242">
        <v>241</v>
      </c>
      <c r="B242" s="1" t="s">
        <v>20</v>
      </c>
      <c r="C242">
        <v>84</v>
      </c>
      <c r="D242" s="1" t="s">
        <v>14</v>
      </c>
      <c r="E242" s="1" t="s">
        <v>35</v>
      </c>
      <c r="F242" s="1" t="s">
        <v>23</v>
      </c>
      <c r="G242" s="2">
        <v>44996</v>
      </c>
      <c r="H242">
        <v>3</v>
      </c>
      <c r="I242">
        <v>34247</v>
      </c>
      <c r="J242" s="1" t="s">
        <v>17</v>
      </c>
    </row>
    <row r="243" spans="1:10" x14ac:dyDescent="0.25">
      <c r="A243">
        <v>242</v>
      </c>
      <c r="B243" s="1" t="s">
        <v>13</v>
      </c>
      <c r="C243">
        <v>75</v>
      </c>
      <c r="D243" s="1" t="s">
        <v>34</v>
      </c>
      <c r="E243" s="1" t="s">
        <v>31</v>
      </c>
      <c r="F243" s="1" t="s">
        <v>32</v>
      </c>
      <c r="G243" s="2">
        <v>45147</v>
      </c>
      <c r="H243">
        <v>3</v>
      </c>
      <c r="I243">
        <v>45461</v>
      </c>
      <c r="J243" s="1" t="s">
        <v>17</v>
      </c>
    </row>
    <row r="244" spans="1:10" x14ac:dyDescent="0.25">
      <c r="A244">
        <v>243</v>
      </c>
      <c r="B244" s="1" t="s">
        <v>20</v>
      </c>
      <c r="C244">
        <v>4</v>
      </c>
      <c r="D244" s="1" t="s">
        <v>37</v>
      </c>
      <c r="E244" s="1" t="s">
        <v>31</v>
      </c>
      <c r="F244" s="1" t="s">
        <v>16</v>
      </c>
      <c r="G244" s="2">
        <v>44936</v>
      </c>
      <c r="H244">
        <v>6</v>
      </c>
      <c r="I244">
        <v>29938</v>
      </c>
      <c r="J244" s="1" t="s">
        <v>17</v>
      </c>
    </row>
    <row r="245" spans="1:10" x14ac:dyDescent="0.25">
      <c r="A245">
        <v>244</v>
      </c>
      <c r="B245" s="1" t="s">
        <v>13</v>
      </c>
      <c r="C245">
        <v>79</v>
      </c>
      <c r="D245" s="1" t="s">
        <v>14</v>
      </c>
      <c r="E245" s="1" t="s">
        <v>27</v>
      </c>
      <c r="F245" s="1" t="s">
        <v>23</v>
      </c>
      <c r="G245" s="2">
        <v>45088</v>
      </c>
      <c r="H245">
        <v>14</v>
      </c>
      <c r="I245">
        <v>42469</v>
      </c>
      <c r="J245" s="1" t="s">
        <v>24</v>
      </c>
    </row>
    <row r="246" spans="1:10" x14ac:dyDescent="0.25">
      <c r="A246">
        <v>245</v>
      </c>
      <c r="B246" s="1" t="s">
        <v>13</v>
      </c>
      <c r="C246">
        <v>6</v>
      </c>
      <c r="D246" s="1" t="s">
        <v>30</v>
      </c>
      <c r="E246" s="1" t="s">
        <v>31</v>
      </c>
      <c r="F246" s="1" t="s">
        <v>23</v>
      </c>
      <c r="G246" s="2">
        <v>45139</v>
      </c>
      <c r="H246">
        <v>8</v>
      </c>
      <c r="I246">
        <v>19600</v>
      </c>
      <c r="J246" s="1" t="s">
        <v>24</v>
      </c>
    </row>
    <row r="247" spans="1:10" x14ac:dyDescent="0.25">
      <c r="A247">
        <v>246</v>
      </c>
      <c r="B247" s="1" t="s">
        <v>20</v>
      </c>
      <c r="C247">
        <v>51</v>
      </c>
      <c r="D247" s="1" t="s">
        <v>34</v>
      </c>
      <c r="E247" s="1" t="s">
        <v>31</v>
      </c>
      <c r="F247" s="1" t="s">
        <v>28</v>
      </c>
      <c r="G247" s="2">
        <v>45134</v>
      </c>
      <c r="H247">
        <v>11</v>
      </c>
      <c r="I247">
        <v>22435</v>
      </c>
      <c r="J247" s="1" t="s">
        <v>39</v>
      </c>
    </row>
    <row r="248" spans="1:10" x14ac:dyDescent="0.25">
      <c r="A248">
        <v>247</v>
      </c>
      <c r="B248" s="1" t="s">
        <v>13</v>
      </c>
      <c r="C248">
        <v>62</v>
      </c>
      <c r="D248" s="1" t="s">
        <v>45</v>
      </c>
      <c r="E248" s="1" t="s">
        <v>22</v>
      </c>
      <c r="F248" s="1" t="s">
        <v>23</v>
      </c>
      <c r="G248" s="2">
        <v>44961</v>
      </c>
      <c r="H248">
        <v>7</v>
      </c>
      <c r="I248">
        <v>20581</v>
      </c>
      <c r="J248" s="1" t="s">
        <v>17</v>
      </c>
    </row>
    <row r="249" spans="1:10" x14ac:dyDescent="0.25">
      <c r="A249">
        <v>248</v>
      </c>
      <c r="B249" s="1" t="s">
        <v>13</v>
      </c>
      <c r="C249">
        <v>57</v>
      </c>
      <c r="D249" s="1" t="s">
        <v>14</v>
      </c>
      <c r="E249" s="1" t="s">
        <v>27</v>
      </c>
      <c r="F249" s="1" t="s">
        <v>23</v>
      </c>
      <c r="G249" s="2">
        <v>45080</v>
      </c>
      <c r="H249">
        <v>14</v>
      </c>
      <c r="I249">
        <v>16191</v>
      </c>
      <c r="J249" s="1" t="s">
        <v>24</v>
      </c>
    </row>
    <row r="250" spans="1:10" x14ac:dyDescent="0.25">
      <c r="A250">
        <v>249</v>
      </c>
      <c r="B250" s="1" t="s">
        <v>13</v>
      </c>
      <c r="C250">
        <v>66</v>
      </c>
      <c r="D250" s="1" t="s">
        <v>30</v>
      </c>
      <c r="E250" s="1" t="s">
        <v>15</v>
      </c>
      <c r="F250" s="1" t="s">
        <v>23</v>
      </c>
      <c r="G250" s="2">
        <v>45248</v>
      </c>
      <c r="H250">
        <v>4</v>
      </c>
      <c r="I250">
        <v>21190</v>
      </c>
      <c r="J250" s="1" t="s">
        <v>24</v>
      </c>
    </row>
    <row r="251" spans="1:10" x14ac:dyDescent="0.25">
      <c r="A251">
        <v>250</v>
      </c>
      <c r="B251" s="1" t="s">
        <v>13</v>
      </c>
      <c r="C251">
        <v>79</v>
      </c>
      <c r="D251" s="1" t="s">
        <v>21</v>
      </c>
      <c r="E251" s="1" t="s">
        <v>35</v>
      </c>
      <c r="F251" s="1" t="s">
        <v>23</v>
      </c>
      <c r="G251" s="2">
        <v>44978</v>
      </c>
      <c r="H251">
        <v>11</v>
      </c>
      <c r="I251">
        <v>29386</v>
      </c>
      <c r="J251" s="1" t="s">
        <v>24</v>
      </c>
    </row>
    <row r="252" spans="1:10" x14ac:dyDescent="0.25">
      <c r="A252">
        <v>251</v>
      </c>
      <c r="B252" s="1" t="s">
        <v>20</v>
      </c>
      <c r="C252">
        <v>75</v>
      </c>
      <c r="D252" s="1" t="s">
        <v>30</v>
      </c>
      <c r="E252" s="1" t="s">
        <v>31</v>
      </c>
      <c r="F252" s="1" t="s">
        <v>28</v>
      </c>
      <c r="G252" s="2">
        <v>45272</v>
      </c>
      <c r="H252">
        <v>12</v>
      </c>
      <c r="I252">
        <v>33721</v>
      </c>
      <c r="J252" s="1" t="s">
        <v>24</v>
      </c>
    </row>
    <row r="253" spans="1:10" x14ac:dyDescent="0.25">
      <c r="A253">
        <v>252</v>
      </c>
      <c r="B253" s="1" t="s">
        <v>13</v>
      </c>
      <c r="C253">
        <v>8</v>
      </c>
      <c r="D253" s="1" t="s">
        <v>30</v>
      </c>
      <c r="E253" s="1" t="s">
        <v>35</v>
      </c>
      <c r="F253" s="1" t="s">
        <v>32</v>
      </c>
      <c r="G253" s="2">
        <v>45063</v>
      </c>
      <c r="H253">
        <v>4</v>
      </c>
      <c r="I253">
        <v>15704</v>
      </c>
      <c r="J253" s="1" t="s">
        <v>24</v>
      </c>
    </row>
    <row r="254" spans="1:10" x14ac:dyDescent="0.25">
      <c r="A254">
        <v>253</v>
      </c>
      <c r="B254" s="1" t="s">
        <v>20</v>
      </c>
      <c r="C254">
        <v>26</v>
      </c>
      <c r="D254" s="1" t="s">
        <v>34</v>
      </c>
      <c r="E254" s="1" t="s">
        <v>15</v>
      </c>
      <c r="F254" s="1" t="s">
        <v>32</v>
      </c>
      <c r="G254" s="2">
        <v>45075</v>
      </c>
      <c r="H254">
        <v>11</v>
      </c>
      <c r="I254">
        <v>4123</v>
      </c>
      <c r="J254" s="1" t="s">
        <v>24</v>
      </c>
    </row>
    <row r="255" spans="1:10" x14ac:dyDescent="0.25">
      <c r="A255">
        <v>254</v>
      </c>
      <c r="B255" s="1" t="s">
        <v>13</v>
      </c>
      <c r="C255">
        <v>51</v>
      </c>
      <c r="D255" s="1" t="s">
        <v>45</v>
      </c>
      <c r="E255" s="1" t="s">
        <v>35</v>
      </c>
      <c r="F255" s="1" t="s">
        <v>16</v>
      </c>
      <c r="G255" s="2">
        <v>45077</v>
      </c>
      <c r="H255">
        <v>10</v>
      </c>
      <c r="I255">
        <v>27174</v>
      </c>
      <c r="J255" s="1" t="s">
        <v>24</v>
      </c>
    </row>
    <row r="256" spans="1:10" x14ac:dyDescent="0.25">
      <c r="A256">
        <v>255</v>
      </c>
      <c r="B256" s="1" t="s">
        <v>13</v>
      </c>
      <c r="C256">
        <v>45</v>
      </c>
      <c r="D256" s="1" t="s">
        <v>21</v>
      </c>
      <c r="E256" s="1" t="s">
        <v>15</v>
      </c>
      <c r="F256" s="1" t="s">
        <v>23</v>
      </c>
      <c r="G256" s="2">
        <v>45150</v>
      </c>
      <c r="H256">
        <v>11</v>
      </c>
      <c r="I256">
        <v>46301</v>
      </c>
      <c r="J256" s="1" t="s">
        <v>24</v>
      </c>
    </row>
    <row r="257" spans="1:10" x14ac:dyDescent="0.25">
      <c r="A257">
        <v>256</v>
      </c>
      <c r="B257" s="1" t="s">
        <v>13</v>
      </c>
      <c r="C257">
        <v>44</v>
      </c>
      <c r="D257" s="1" t="s">
        <v>37</v>
      </c>
      <c r="E257" s="1" t="s">
        <v>22</v>
      </c>
      <c r="F257" s="1" t="s">
        <v>28</v>
      </c>
      <c r="G257" s="2">
        <v>45121</v>
      </c>
      <c r="H257">
        <v>11</v>
      </c>
      <c r="I257">
        <v>49216</v>
      </c>
      <c r="J257" s="1" t="s">
        <v>39</v>
      </c>
    </row>
    <row r="258" spans="1:10" x14ac:dyDescent="0.25">
      <c r="A258">
        <v>257</v>
      </c>
      <c r="B258" s="1" t="s">
        <v>13</v>
      </c>
      <c r="C258">
        <v>5</v>
      </c>
      <c r="D258" s="1" t="s">
        <v>37</v>
      </c>
      <c r="E258" s="1" t="s">
        <v>31</v>
      </c>
      <c r="F258" s="1" t="s">
        <v>16</v>
      </c>
      <c r="G258" s="2">
        <v>45135</v>
      </c>
      <c r="H258">
        <v>14</v>
      </c>
      <c r="I258">
        <v>16586</v>
      </c>
      <c r="J258" s="1" t="s">
        <v>24</v>
      </c>
    </row>
    <row r="259" spans="1:10" x14ac:dyDescent="0.25">
      <c r="A259">
        <v>258</v>
      </c>
      <c r="B259" s="1" t="s">
        <v>20</v>
      </c>
      <c r="C259">
        <v>70</v>
      </c>
      <c r="D259" s="1" t="s">
        <v>30</v>
      </c>
      <c r="E259" s="1" t="s">
        <v>15</v>
      </c>
      <c r="F259" s="1" t="s">
        <v>16</v>
      </c>
      <c r="G259" s="2">
        <v>45065</v>
      </c>
      <c r="H259">
        <v>11</v>
      </c>
      <c r="I259">
        <v>33976</v>
      </c>
      <c r="J259" s="1" t="s">
        <v>24</v>
      </c>
    </row>
    <row r="260" spans="1:10" x14ac:dyDescent="0.25">
      <c r="A260">
        <v>259</v>
      </c>
      <c r="B260" s="1" t="s">
        <v>20</v>
      </c>
      <c r="C260">
        <v>26</v>
      </c>
      <c r="D260" s="1" t="s">
        <v>34</v>
      </c>
      <c r="E260" s="1" t="s">
        <v>35</v>
      </c>
      <c r="F260" s="1" t="s">
        <v>32</v>
      </c>
      <c r="G260" s="2">
        <v>45132</v>
      </c>
      <c r="H260">
        <v>2</v>
      </c>
      <c r="I260">
        <v>27416</v>
      </c>
      <c r="J260" s="1" t="s">
        <v>24</v>
      </c>
    </row>
    <row r="261" spans="1:10" x14ac:dyDescent="0.25">
      <c r="A261">
        <v>260</v>
      </c>
      <c r="B261" s="1" t="s">
        <v>13</v>
      </c>
      <c r="C261">
        <v>68</v>
      </c>
      <c r="D261" s="1" t="s">
        <v>34</v>
      </c>
      <c r="E261" s="1" t="s">
        <v>31</v>
      </c>
      <c r="F261" s="1" t="s">
        <v>28</v>
      </c>
      <c r="G261" s="2">
        <v>45019</v>
      </c>
      <c r="H261">
        <v>14</v>
      </c>
      <c r="I261">
        <v>3814</v>
      </c>
      <c r="J261" s="1" t="s">
        <v>39</v>
      </c>
    </row>
    <row r="262" spans="1:10" x14ac:dyDescent="0.25">
      <c r="A262">
        <v>261</v>
      </c>
      <c r="B262" s="1" t="s">
        <v>13</v>
      </c>
      <c r="C262">
        <v>19</v>
      </c>
      <c r="D262" s="1" t="s">
        <v>37</v>
      </c>
      <c r="E262" s="1" t="s">
        <v>22</v>
      </c>
      <c r="F262" s="1" t="s">
        <v>28</v>
      </c>
      <c r="G262" s="2">
        <v>44974</v>
      </c>
      <c r="H262">
        <v>1</v>
      </c>
      <c r="I262">
        <v>15001</v>
      </c>
      <c r="J262" s="1" t="s">
        <v>24</v>
      </c>
    </row>
    <row r="263" spans="1:10" x14ac:dyDescent="0.25">
      <c r="A263">
        <v>262</v>
      </c>
      <c r="B263" s="1" t="s">
        <v>20</v>
      </c>
      <c r="C263">
        <v>84</v>
      </c>
      <c r="D263" s="1" t="s">
        <v>21</v>
      </c>
      <c r="E263" s="1" t="s">
        <v>31</v>
      </c>
      <c r="F263" s="1" t="s">
        <v>28</v>
      </c>
      <c r="G263" s="2">
        <v>45188</v>
      </c>
      <c r="H263">
        <v>9</v>
      </c>
      <c r="I263">
        <v>18508</v>
      </c>
      <c r="J263" s="1" t="s">
        <v>17</v>
      </c>
    </row>
    <row r="264" spans="1:10" x14ac:dyDescent="0.25">
      <c r="A264">
        <v>263</v>
      </c>
      <c r="B264" s="1" t="s">
        <v>13</v>
      </c>
      <c r="C264">
        <v>20</v>
      </c>
      <c r="D264" s="1" t="s">
        <v>45</v>
      </c>
      <c r="E264" s="1" t="s">
        <v>15</v>
      </c>
      <c r="F264" s="1" t="s">
        <v>32</v>
      </c>
      <c r="G264" s="2">
        <v>45049</v>
      </c>
      <c r="H264">
        <v>12</v>
      </c>
      <c r="I264">
        <v>21630</v>
      </c>
      <c r="J264" s="1" t="s">
        <v>24</v>
      </c>
    </row>
    <row r="265" spans="1:10" x14ac:dyDescent="0.25">
      <c r="A265">
        <v>264</v>
      </c>
      <c r="B265" s="1" t="s">
        <v>13</v>
      </c>
      <c r="C265">
        <v>12</v>
      </c>
      <c r="D265" s="1" t="s">
        <v>21</v>
      </c>
      <c r="E265" s="1" t="s">
        <v>22</v>
      </c>
      <c r="F265" s="1" t="s">
        <v>32</v>
      </c>
      <c r="G265" s="2">
        <v>45137</v>
      </c>
      <c r="H265">
        <v>12</v>
      </c>
      <c r="I265">
        <v>15380</v>
      </c>
      <c r="J265" s="1" t="s">
        <v>17</v>
      </c>
    </row>
    <row r="266" spans="1:10" x14ac:dyDescent="0.25">
      <c r="A266">
        <v>265</v>
      </c>
      <c r="B266" s="1" t="s">
        <v>13</v>
      </c>
      <c r="C266">
        <v>47</v>
      </c>
      <c r="D266" s="1" t="s">
        <v>14</v>
      </c>
      <c r="E266" s="1" t="s">
        <v>35</v>
      </c>
      <c r="F266" s="1" t="s">
        <v>32</v>
      </c>
      <c r="G266" s="2">
        <v>45130</v>
      </c>
      <c r="H266">
        <v>2</v>
      </c>
      <c r="I266">
        <v>37699</v>
      </c>
      <c r="J266" s="1" t="s">
        <v>17</v>
      </c>
    </row>
    <row r="267" spans="1:10" x14ac:dyDescent="0.25">
      <c r="A267">
        <v>266</v>
      </c>
      <c r="B267" s="1" t="s">
        <v>20</v>
      </c>
      <c r="C267">
        <v>1</v>
      </c>
      <c r="D267" s="1" t="s">
        <v>14</v>
      </c>
      <c r="E267" s="1" t="s">
        <v>22</v>
      </c>
      <c r="F267" s="1" t="s">
        <v>32</v>
      </c>
      <c r="G267" s="2">
        <v>45123</v>
      </c>
      <c r="H267">
        <v>13</v>
      </c>
      <c r="I267">
        <v>48335</v>
      </c>
      <c r="J267" s="1" t="s">
        <v>24</v>
      </c>
    </row>
    <row r="268" spans="1:10" x14ac:dyDescent="0.25">
      <c r="A268">
        <v>267</v>
      </c>
      <c r="B268" s="1" t="s">
        <v>20</v>
      </c>
      <c r="C268">
        <v>14</v>
      </c>
      <c r="D268" s="1" t="s">
        <v>45</v>
      </c>
      <c r="E268" s="1" t="s">
        <v>22</v>
      </c>
      <c r="F268" s="1" t="s">
        <v>32</v>
      </c>
      <c r="G268" s="2">
        <v>45097</v>
      </c>
      <c r="H268">
        <v>8</v>
      </c>
      <c r="I268">
        <v>48806</v>
      </c>
      <c r="J268" s="1" t="s">
        <v>24</v>
      </c>
    </row>
    <row r="269" spans="1:10" x14ac:dyDescent="0.25">
      <c r="A269">
        <v>268</v>
      </c>
      <c r="B269" s="1" t="s">
        <v>20</v>
      </c>
      <c r="C269">
        <v>64</v>
      </c>
      <c r="D269" s="1" t="s">
        <v>37</v>
      </c>
      <c r="E269" s="1" t="s">
        <v>27</v>
      </c>
      <c r="F269" s="1" t="s">
        <v>23</v>
      </c>
      <c r="G269" s="2">
        <v>45127</v>
      </c>
      <c r="H269">
        <v>9</v>
      </c>
      <c r="I269">
        <v>14317</v>
      </c>
      <c r="J269" s="1" t="s">
        <v>24</v>
      </c>
    </row>
    <row r="270" spans="1:10" x14ac:dyDescent="0.25">
      <c r="A270">
        <v>269</v>
      </c>
      <c r="B270" s="1" t="s">
        <v>13</v>
      </c>
      <c r="C270">
        <v>38</v>
      </c>
      <c r="D270" s="1" t="s">
        <v>45</v>
      </c>
      <c r="E270" s="1" t="s">
        <v>22</v>
      </c>
      <c r="F270" s="1" t="s">
        <v>23</v>
      </c>
      <c r="G270" s="2">
        <v>45200</v>
      </c>
      <c r="H270">
        <v>4</v>
      </c>
      <c r="I270">
        <v>37739</v>
      </c>
      <c r="J270" s="1" t="s">
        <v>24</v>
      </c>
    </row>
    <row r="271" spans="1:10" x14ac:dyDescent="0.25">
      <c r="A271">
        <v>270</v>
      </c>
      <c r="B271" s="1" t="s">
        <v>13</v>
      </c>
      <c r="C271">
        <v>37</v>
      </c>
      <c r="D271" s="1" t="s">
        <v>34</v>
      </c>
      <c r="E271" s="1" t="s">
        <v>22</v>
      </c>
      <c r="F271" s="1" t="s">
        <v>28</v>
      </c>
      <c r="G271" s="2">
        <v>45014</v>
      </c>
      <c r="H271">
        <v>8</v>
      </c>
      <c r="I271">
        <v>36785</v>
      </c>
      <c r="J271" s="1" t="s">
        <v>24</v>
      </c>
    </row>
    <row r="272" spans="1:10" x14ac:dyDescent="0.25">
      <c r="A272">
        <v>271</v>
      </c>
      <c r="B272" s="1" t="s">
        <v>20</v>
      </c>
      <c r="C272">
        <v>11</v>
      </c>
      <c r="D272" s="1" t="s">
        <v>14</v>
      </c>
      <c r="E272" s="1" t="s">
        <v>31</v>
      </c>
      <c r="F272" s="1" t="s">
        <v>16</v>
      </c>
      <c r="G272" s="2">
        <v>44959</v>
      </c>
      <c r="H272">
        <v>9</v>
      </c>
      <c r="I272">
        <v>33980</v>
      </c>
      <c r="J272" s="1" t="s">
        <v>24</v>
      </c>
    </row>
    <row r="273" spans="1:10" x14ac:dyDescent="0.25">
      <c r="A273">
        <v>272</v>
      </c>
      <c r="B273" s="1" t="s">
        <v>20</v>
      </c>
      <c r="C273">
        <v>77</v>
      </c>
      <c r="D273" s="1" t="s">
        <v>30</v>
      </c>
      <c r="E273" s="1" t="s">
        <v>35</v>
      </c>
      <c r="F273" s="1" t="s">
        <v>28</v>
      </c>
      <c r="G273" s="2">
        <v>45225</v>
      </c>
      <c r="H273">
        <v>10</v>
      </c>
      <c r="I273">
        <v>25799</v>
      </c>
      <c r="J273" s="1" t="s">
        <v>24</v>
      </c>
    </row>
    <row r="274" spans="1:10" x14ac:dyDescent="0.25">
      <c r="A274">
        <v>273</v>
      </c>
      <c r="B274" s="1" t="s">
        <v>20</v>
      </c>
      <c r="C274">
        <v>3</v>
      </c>
      <c r="D274" s="1" t="s">
        <v>30</v>
      </c>
      <c r="E274" s="1" t="s">
        <v>31</v>
      </c>
      <c r="F274" s="1" t="s">
        <v>16</v>
      </c>
      <c r="G274" s="2">
        <v>45277</v>
      </c>
      <c r="H274">
        <v>10</v>
      </c>
      <c r="I274">
        <v>37183</v>
      </c>
      <c r="J274" s="1" t="s">
        <v>24</v>
      </c>
    </row>
    <row r="275" spans="1:10" x14ac:dyDescent="0.25">
      <c r="A275">
        <v>274</v>
      </c>
      <c r="B275" s="1" t="s">
        <v>20</v>
      </c>
      <c r="C275">
        <v>33</v>
      </c>
      <c r="D275" s="1" t="s">
        <v>37</v>
      </c>
      <c r="E275" s="1" t="s">
        <v>31</v>
      </c>
      <c r="F275" s="1" t="s">
        <v>32</v>
      </c>
      <c r="G275" s="2">
        <v>45047</v>
      </c>
      <c r="H275">
        <v>5</v>
      </c>
      <c r="I275">
        <v>31166</v>
      </c>
      <c r="J275" s="1" t="s">
        <v>24</v>
      </c>
    </row>
    <row r="276" spans="1:10" x14ac:dyDescent="0.25">
      <c r="A276">
        <v>275</v>
      </c>
      <c r="B276" s="1" t="s">
        <v>13</v>
      </c>
      <c r="C276">
        <v>6</v>
      </c>
      <c r="D276" s="1" t="s">
        <v>34</v>
      </c>
      <c r="E276" s="1" t="s">
        <v>15</v>
      </c>
      <c r="F276" s="1" t="s">
        <v>16</v>
      </c>
      <c r="G276" s="2">
        <v>45123</v>
      </c>
      <c r="H276">
        <v>13</v>
      </c>
      <c r="I276">
        <v>21480</v>
      </c>
      <c r="J276" s="1" t="s">
        <v>24</v>
      </c>
    </row>
    <row r="277" spans="1:10" x14ac:dyDescent="0.25">
      <c r="A277">
        <v>276</v>
      </c>
      <c r="B277" s="1" t="s">
        <v>20</v>
      </c>
      <c r="C277">
        <v>50</v>
      </c>
      <c r="D277" s="1" t="s">
        <v>21</v>
      </c>
      <c r="E277" s="1" t="s">
        <v>31</v>
      </c>
      <c r="F277" s="1" t="s">
        <v>28</v>
      </c>
      <c r="G277" s="2">
        <v>44946</v>
      </c>
      <c r="H277">
        <v>14</v>
      </c>
      <c r="I277">
        <v>3609</v>
      </c>
      <c r="J277" s="1" t="s">
        <v>24</v>
      </c>
    </row>
    <row r="278" spans="1:10" x14ac:dyDescent="0.25">
      <c r="A278">
        <v>277</v>
      </c>
      <c r="B278" s="1" t="s">
        <v>13</v>
      </c>
      <c r="C278">
        <v>10</v>
      </c>
      <c r="D278" s="1" t="s">
        <v>34</v>
      </c>
      <c r="E278" s="1" t="s">
        <v>27</v>
      </c>
      <c r="F278" s="1" t="s">
        <v>28</v>
      </c>
      <c r="G278" s="2">
        <v>45244</v>
      </c>
      <c r="H278">
        <v>7</v>
      </c>
      <c r="I278">
        <v>2717</v>
      </c>
      <c r="J278" s="1" t="s">
        <v>24</v>
      </c>
    </row>
    <row r="279" spans="1:10" x14ac:dyDescent="0.25">
      <c r="A279">
        <v>278</v>
      </c>
      <c r="B279" s="1" t="s">
        <v>20</v>
      </c>
      <c r="C279">
        <v>5</v>
      </c>
      <c r="D279" s="1" t="s">
        <v>30</v>
      </c>
      <c r="E279" s="1" t="s">
        <v>27</v>
      </c>
      <c r="F279" s="1" t="s">
        <v>16</v>
      </c>
      <c r="G279" s="2">
        <v>45043</v>
      </c>
      <c r="H279">
        <v>10</v>
      </c>
      <c r="I279">
        <v>21945</v>
      </c>
      <c r="J279" s="1" t="s">
        <v>24</v>
      </c>
    </row>
    <row r="280" spans="1:10" x14ac:dyDescent="0.25">
      <c r="A280">
        <v>279</v>
      </c>
      <c r="B280" s="1" t="s">
        <v>13</v>
      </c>
      <c r="C280">
        <v>23</v>
      </c>
      <c r="D280" s="1" t="s">
        <v>30</v>
      </c>
      <c r="E280" s="1" t="s">
        <v>15</v>
      </c>
      <c r="F280" s="1" t="s">
        <v>23</v>
      </c>
      <c r="G280" s="2">
        <v>45089</v>
      </c>
      <c r="H280">
        <v>4</v>
      </c>
      <c r="I280">
        <v>27592</v>
      </c>
      <c r="J280" s="1" t="s">
        <v>24</v>
      </c>
    </row>
    <row r="281" spans="1:10" x14ac:dyDescent="0.25">
      <c r="A281">
        <v>280</v>
      </c>
      <c r="B281" s="1" t="s">
        <v>20</v>
      </c>
      <c r="C281">
        <v>10</v>
      </c>
      <c r="D281" s="1" t="s">
        <v>14</v>
      </c>
      <c r="E281" s="1" t="s">
        <v>35</v>
      </c>
      <c r="F281" s="1" t="s">
        <v>32</v>
      </c>
      <c r="G281" s="2">
        <v>45097</v>
      </c>
      <c r="H281">
        <v>1</v>
      </c>
      <c r="I281">
        <v>30141</v>
      </c>
      <c r="J281" s="1" t="s">
        <v>39</v>
      </c>
    </row>
    <row r="282" spans="1:10" x14ac:dyDescent="0.25">
      <c r="A282">
        <v>281</v>
      </c>
      <c r="B282" s="1" t="s">
        <v>20</v>
      </c>
      <c r="C282">
        <v>44</v>
      </c>
      <c r="D282" s="1" t="s">
        <v>34</v>
      </c>
      <c r="E282" s="1" t="s">
        <v>35</v>
      </c>
      <c r="F282" s="1" t="s">
        <v>32</v>
      </c>
      <c r="G282" s="2">
        <v>45059</v>
      </c>
      <c r="H282">
        <v>3</v>
      </c>
      <c r="I282">
        <v>32009</v>
      </c>
      <c r="J282" s="1" t="s">
        <v>24</v>
      </c>
    </row>
    <row r="283" spans="1:10" x14ac:dyDescent="0.25">
      <c r="A283">
        <v>282</v>
      </c>
      <c r="B283" s="1" t="s">
        <v>20</v>
      </c>
      <c r="C283">
        <v>2</v>
      </c>
      <c r="D283" s="1" t="s">
        <v>34</v>
      </c>
      <c r="E283" s="1" t="s">
        <v>31</v>
      </c>
      <c r="F283" s="1" t="s">
        <v>28</v>
      </c>
      <c r="G283" s="2">
        <v>45053</v>
      </c>
      <c r="H283">
        <v>5</v>
      </c>
      <c r="I283">
        <v>47430</v>
      </c>
      <c r="J283" s="1" t="s">
        <v>24</v>
      </c>
    </row>
    <row r="284" spans="1:10" x14ac:dyDescent="0.25">
      <c r="A284">
        <v>283</v>
      </c>
      <c r="B284" s="1" t="s">
        <v>20</v>
      </c>
      <c r="C284">
        <v>13</v>
      </c>
      <c r="D284" s="1" t="s">
        <v>30</v>
      </c>
      <c r="E284" s="1" t="s">
        <v>31</v>
      </c>
      <c r="F284" s="1" t="s">
        <v>23</v>
      </c>
      <c r="G284" s="2">
        <v>45238</v>
      </c>
      <c r="H284">
        <v>3</v>
      </c>
      <c r="I284">
        <v>8782</v>
      </c>
      <c r="J284" s="1" t="s">
        <v>24</v>
      </c>
    </row>
    <row r="285" spans="1:10" x14ac:dyDescent="0.25">
      <c r="A285">
        <v>284</v>
      </c>
      <c r="B285" s="1" t="s">
        <v>13</v>
      </c>
      <c r="C285">
        <v>40</v>
      </c>
      <c r="D285" s="1" t="s">
        <v>21</v>
      </c>
      <c r="E285" s="1" t="s">
        <v>31</v>
      </c>
      <c r="F285" s="1" t="s">
        <v>16</v>
      </c>
      <c r="G285" s="2">
        <v>44968</v>
      </c>
      <c r="H285">
        <v>12</v>
      </c>
      <c r="I285">
        <v>28536</v>
      </c>
      <c r="J285" s="1" t="s">
        <v>39</v>
      </c>
    </row>
    <row r="286" spans="1:10" x14ac:dyDescent="0.25">
      <c r="A286">
        <v>285</v>
      </c>
      <c r="B286" s="1" t="s">
        <v>20</v>
      </c>
      <c r="C286">
        <v>2</v>
      </c>
      <c r="D286" s="1" t="s">
        <v>37</v>
      </c>
      <c r="E286" s="1" t="s">
        <v>35</v>
      </c>
      <c r="F286" s="1" t="s">
        <v>32</v>
      </c>
      <c r="G286" s="2">
        <v>44937</v>
      </c>
      <c r="H286">
        <v>13</v>
      </c>
      <c r="I286">
        <v>35816</v>
      </c>
      <c r="J286" s="1" t="s">
        <v>39</v>
      </c>
    </row>
    <row r="287" spans="1:10" x14ac:dyDescent="0.25">
      <c r="A287">
        <v>286</v>
      </c>
      <c r="B287" s="1" t="s">
        <v>13</v>
      </c>
      <c r="C287">
        <v>84</v>
      </c>
      <c r="D287" s="1" t="s">
        <v>37</v>
      </c>
      <c r="E287" s="1" t="s">
        <v>22</v>
      </c>
      <c r="F287" s="1" t="s">
        <v>23</v>
      </c>
      <c r="G287" s="2">
        <v>45281</v>
      </c>
      <c r="H287">
        <v>11</v>
      </c>
      <c r="I287">
        <v>27933</v>
      </c>
      <c r="J287" s="1" t="s">
        <v>39</v>
      </c>
    </row>
    <row r="288" spans="1:10" x14ac:dyDescent="0.25">
      <c r="A288">
        <v>287</v>
      </c>
      <c r="B288" s="1" t="s">
        <v>13</v>
      </c>
      <c r="C288">
        <v>65</v>
      </c>
      <c r="D288" s="1" t="s">
        <v>34</v>
      </c>
      <c r="E288" s="1" t="s">
        <v>27</v>
      </c>
      <c r="F288" s="1" t="s">
        <v>32</v>
      </c>
      <c r="G288" s="2">
        <v>45108</v>
      </c>
      <c r="H288">
        <v>7</v>
      </c>
      <c r="I288">
        <v>13618</v>
      </c>
      <c r="J288" s="1" t="s">
        <v>24</v>
      </c>
    </row>
    <row r="289" spans="1:10" x14ac:dyDescent="0.25">
      <c r="A289">
        <v>288</v>
      </c>
      <c r="B289" s="1" t="s">
        <v>13</v>
      </c>
      <c r="C289">
        <v>63</v>
      </c>
      <c r="D289" s="1" t="s">
        <v>37</v>
      </c>
      <c r="E289" s="1" t="s">
        <v>22</v>
      </c>
      <c r="F289" s="1" t="s">
        <v>23</v>
      </c>
      <c r="G289" s="2">
        <v>45101</v>
      </c>
      <c r="H289">
        <v>12</v>
      </c>
      <c r="I289">
        <v>10307</v>
      </c>
      <c r="J289" s="1" t="s">
        <v>24</v>
      </c>
    </row>
    <row r="290" spans="1:10" x14ac:dyDescent="0.25">
      <c r="A290">
        <v>289</v>
      </c>
      <c r="B290" s="1" t="s">
        <v>13</v>
      </c>
      <c r="C290">
        <v>73</v>
      </c>
      <c r="D290" s="1" t="s">
        <v>30</v>
      </c>
      <c r="E290" s="1" t="s">
        <v>22</v>
      </c>
      <c r="F290" s="1" t="s">
        <v>23</v>
      </c>
      <c r="G290" s="2">
        <v>45144</v>
      </c>
      <c r="H290">
        <v>9</v>
      </c>
      <c r="I290">
        <v>28671</v>
      </c>
      <c r="J290" s="1" t="s">
        <v>24</v>
      </c>
    </row>
    <row r="291" spans="1:10" x14ac:dyDescent="0.25">
      <c r="A291">
        <v>290</v>
      </c>
      <c r="B291" s="1" t="s">
        <v>20</v>
      </c>
      <c r="C291">
        <v>17</v>
      </c>
      <c r="D291" s="1" t="s">
        <v>30</v>
      </c>
      <c r="E291" s="1" t="s">
        <v>35</v>
      </c>
      <c r="F291" s="1" t="s">
        <v>28</v>
      </c>
      <c r="G291" s="2">
        <v>45009</v>
      </c>
      <c r="H291">
        <v>12</v>
      </c>
      <c r="I291">
        <v>42673</v>
      </c>
      <c r="J291" s="1" t="s">
        <v>24</v>
      </c>
    </row>
    <row r="292" spans="1:10" x14ac:dyDescent="0.25">
      <c r="A292">
        <v>291</v>
      </c>
      <c r="B292" s="1" t="s">
        <v>13</v>
      </c>
      <c r="C292">
        <v>9</v>
      </c>
      <c r="D292" s="1" t="s">
        <v>34</v>
      </c>
      <c r="E292" s="1" t="s">
        <v>22</v>
      </c>
      <c r="F292" s="1" t="s">
        <v>32</v>
      </c>
      <c r="G292" s="2">
        <v>44940</v>
      </c>
      <c r="H292">
        <v>6</v>
      </c>
      <c r="I292">
        <v>44761</v>
      </c>
      <c r="J292" s="1" t="s">
        <v>17</v>
      </c>
    </row>
    <row r="293" spans="1:10" x14ac:dyDescent="0.25">
      <c r="A293">
        <v>292</v>
      </c>
      <c r="B293" s="1" t="s">
        <v>13</v>
      </c>
      <c r="C293">
        <v>75</v>
      </c>
      <c r="D293" s="1" t="s">
        <v>34</v>
      </c>
      <c r="E293" s="1" t="s">
        <v>15</v>
      </c>
      <c r="F293" s="1" t="s">
        <v>16</v>
      </c>
      <c r="G293" s="2">
        <v>45089</v>
      </c>
      <c r="H293">
        <v>13</v>
      </c>
      <c r="I293">
        <v>12338</v>
      </c>
      <c r="J293" s="1" t="s">
        <v>24</v>
      </c>
    </row>
    <row r="294" spans="1:10" x14ac:dyDescent="0.25">
      <c r="A294">
        <v>293</v>
      </c>
      <c r="B294" s="1" t="s">
        <v>13</v>
      </c>
      <c r="C294">
        <v>15</v>
      </c>
      <c r="D294" s="1" t="s">
        <v>14</v>
      </c>
      <c r="E294" s="1" t="s">
        <v>31</v>
      </c>
      <c r="F294" s="1" t="s">
        <v>28</v>
      </c>
      <c r="G294" s="2">
        <v>45071</v>
      </c>
      <c r="H294">
        <v>10</v>
      </c>
      <c r="I294">
        <v>40346</v>
      </c>
      <c r="J294" s="1" t="s">
        <v>39</v>
      </c>
    </row>
    <row r="295" spans="1:10" x14ac:dyDescent="0.25">
      <c r="A295">
        <v>294</v>
      </c>
      <c r="B295" s="1" t="s">
        <v>20</v>
      </c>
      <c r="C295">
        <v>24</v>
      </c>
      <c r="D295" s="1" t="s">
        <v>34</v>
      </c>
      <c r="E295" s="1" t="s">
        <v>15</v>
      </c>
      <c r="F295" s="1" t="s">
        <v>28</v>
      </c>
      <c r="G295" s="2">
        <v>45080</v>
      </c>
      <c r="H295">
        <v>1</v>
      </c>
      <c r="I295">
        <v>48602</v>
      </c>
      <c r="J295" s="1" t="s">
        <v>24</v>
      </c>
    </row>
    <row r="296" spans="1:10" x14ac:dyDescent="0.25">
      <c r="A296">
        <v>295</v>
      </c>
      <c r="B296" s="1" t="s">
        <v>20</v>
      </c>
      <c r="C296">
        <v>38</v>
      </c>
      <c r="D296" s="1" t="s">
        <v>21</v>
      </c>
      <c r="E296" s="1" t="s">
        <v>27</v>
      </c>
      <c r="F296" s="1" t="s">
        <v>16</v>
      </c>
      <c r="G296" s="2">
        <v>45182</v>
      </c>
      <c r="H296">
        <v>7</v>
      </c>
      <c r="I296">
        <v>8548</v>
      </c>
      <c r="J296" s="1" t="s">
        <v>39</v>
      </c>
    </row>
    <row r="297" spans="1:10" x14ac:dyDescent="0.25">
      <c r="A297">
        <v>296</v>
      </c>
      <c r="B297" s="1" t="s">
        <v>20</v>
      </c>
      <c r="C297">
        <v>35</v>
      </c>
      <c r="D297" s="1" t="s">
        <v>37</v>
      </c>
      <c r="E297" s="1" t="s">
        <v>31</v>
      </c>
      <c r="F297" s="1" t="s">
        <v>28</v>
      </c>
      <c r="G297" s="2">
        <v>45038</v>
      </c>
      <c r="H297">
        <v>3</v>
      </c>
      <c r="I297">
        <v>42149</v>
      </c>
      <c r="J297" s="1" t="s">
        <v>24</v>
      </c>
    </row>
    <row r="298" spans="1:10" x14ac:dyDescent="0.25">
      <c r="A298">
        <v>297</v>
      </c>
      <c r="B298" s="1" t="s">
        <v>20</v>
      </c>
      <c r="C298">
        <v>49</v>
      </c>
      <c r="D298" s="1" t="s">
        <v>34</v>
      </c>
      <c r="E298" s="1" t="s">
        <v>22</v>
      </c>
      <c r="F298" s="1" t="s">
        <v>23</v>
      </c>
      <c r="G298" s="2">
        <v>44948</v>
      </c>
      <c r="H298">
        <v>5</v>
      </c>
      <c r="I298">
        <v>23164</v>
      </c>
      <c r="J298" s="1" t="s">
        <v>24</v>
      </c>
    </row>
    <row r="299" spans="1:10" x14ac:dyDescent="0.25">
      <c r="A299">
        <v>298</v>
      </c>
      <c r="B299" s="1" t="s">
        <v>13</v>
      </c>
      <c r="C299">
        <v>69</v>
      </c>
      <c r="D299" s="1" t="s">
        <v>45</v>
      </c>
      <c r="E299" s="1" t="s">
        <v>27</v>
      </c>
      <c r="F299" s="1" t="s">
        <v>23</v>
      </c>
      <c r="G299" s="2">
        <v>44970</v>
      </c>
      <c r="H299">
        <v>10</v>
      </c>
      <c r="I299">
        <v>29526</v>
      </c>
      <c r="J299" s="1" t="s">
        <v>24</v>
      </c>
    </row>
    <row r="300" spans="1:10" x14ac:dyDescent="0.25">
      <c r="A300">
        <v>299</v>
      </c>
      <c r="B300" s="1" t="s">
        <v>13</v>
      </c>
      <c r="C300">
        <v>62</v>
      </c>
      <c r="D300" s="1" t="s">
        <v>14</v>
      </c>
      <c r="E300" s="1" t="s">
        <v>31</v>
      </c>
      <c r="F300" s="1" t="s">
        <v>32</v>
      </c>
      <c r="G300" s="2">
        <v>45035</v>
      </c>
      <c r="H300">
        <v>4</v>
      </c>
      <c r="I300">
        <v>33222</v>
      </c>
      <c r="J300" s="1" t="s">
        <v>24</v>
      </c>
    </row>
    <row r="301" spans="1:10" x14ac:dyDescent="0.25">
      <c r="A301">
        <v>300</v>
      </c>
      <c r="B301" s="1" t="s">
        <v>20</v>
      </c>
      <c r="C301">
        <v>60</v>
      </c>
      <c r="D301" s="1" t="s">
        <v>45</v>
      </c>
      <c r="E301" s="1" t="s">
        <v>22</v>
      </c>
      <c r="F301" s="1" t="s">
        <v>32</v>
      </c>
      <c r="G301" s="2">
        <v>45252</v>
      </c>
      <c r="H301">
        <v>10</v>
      </c>
      <c r="I301">
        <v>22176</v>
      </c>
      <c r="J301" s="1" t="s">
        <v>24</v>
      </c>
    </row>
    <row r="302" spans="1:10" x14ac:dyDescent="0.25">
      <c r="A302">
        <v>301</v>
      </c>
      <c r="B302" s="1" t="s">
        <v>13</v>
      </c>
      <c r="C302">
        <v>50</v>
      </c>
      <c r="D302" s="1" t="s">
        <v>30</v>
      </c>
      <c r="E302" s="1" t="s">
        <v>15</v>
      </c>
      <c r="F302" s="1" t="s">
        <v>16</v>
      </c>
      <c r="G302" s="2">
        <v>45035</v>
      </c>
      <c r="H302">
        <v>5</v>
      </c>
      <c r="I302">
        <v>4941</v>
      </c>
      <c r="J302" s="1" t="s">
        <v>39</v>
      </c>
    </row>
    <row r="303" spans="1:10" x14ac:dyDescent="0.25">
      <c r="A303">
        <v>302</v>
      </c>
      <c r="B303" s="1" t="s">
        <v>13</v>
      </c>
      <c r="C303">
        <v>78</v>
      </c>
      <c r="D303" s="1" t="s">
        <v>37</v>
      </c>
      <c r="E303" s="1" t="s">
        <v>31</v>
      </c>
      <c r="F303" s="1" t="s">
        <v>32</v>
      </c>
      <c r="G303" s="2">
        <v>45288</v>
      </c>
      <c r="H303">
        <v>5</v>
      </c>
      <c r="I303">
        <v>7695</v>
      </c>
      <c r="J303" s="1" t="s">
        <v>24</v>
      </c>
    </row>
    <row r="304" spans="1:10" x14ac:dyDescent="0.25">
      <c r="A304">
        <v>303</v>
      </c>
      <c r="B304" s="1" t="s">
        <v>13</v>
      </c>
      <c r="C304">
        <v>75</v>
      </c>
      <c r="D304" s="1" t="s">
        <v>34</v>
      </c>
      <c r="E304" s="1" t="s">
        <v>22</v>
      </c>
      <c r="F304" s="1" t="s">
        <v>23</v>
      </c>
      <c r="G304" s="2">
        <v>44970</v>
      </c>
      <c r="H304">
        <v>6</v>
      </c>
      <c r="I304">
        <v>41169</v>
      </c>
      <c r="J304" s="1" t="s">
        <v>24</v>
      </c>
    </row>
    <row r="305" spans="1:10" x14ac:dyDescent="0.25">
      <c r="A305">
        <v>304</v>
      </c>
      <c r="B305" s="1" t="s">
        <v>20</v>
      </c>
      <c r="C305">
        <v>9</v>
      </c>
      <c r="D305" s="1" t="s">
        <v>45</v>
      </c>
      <c r="E305" s="1" t="s">
        <v>15</v>
      </c>
      <c r="F305" s="1" t="s">
        <v>16</v>
      </c>
      <c r="G305" s="2">
        <v>45238</v>
      </c>
      <c r="H305">
        <v>14</v>
      </c>
      <c r="I305">
        <v>49947</v>
      </c>
      <c r="J305" s="1" t="s">
        <v>24</v>
      </c>
    </row>
    <row r="306" spans="1:10" x14ac:dyDescent="0.25">
      <c r="A306">
        <v>305</v>
      </c>
      <c r="B306" s="1" t="s">
        <v>20</v>
      </c>
      <c r="C306">
        <v>34</v>
      </c>
      <c r="D306" s="1" t="s">
        <v>37</v>
      </c>
      <c r="E306" s="1" t="s">
        <v>27</v>
      </c>
      <c r="F306" s="1" t="s">
        <v>16</v>
      </c>
      <c r="G306" s="2">
        <v>45256</v>
      </c>
      <c r="H306">
        <v>10</v>
      </c>
      <c r="I306">
        <v>49224</v>
      </c>
      <c r="J306" s="1" t="s">
        <v>24</v>
      </c>
    </row>
    <row r="307" spans="1:10" x14ac:dyDescent="0.25">
      <c r="A307">
        <v>306</v>
      </c>
      <c r="B307" s="1" t="s">
        <v>13</v>
      </c>
      <c r="C307">
        <v>76</v>
      </c>
      <c r="D307" s="1" t="s">
        <v>30</v>
      </c>
      <c r="E307" s="1" t="s">
        <v>27</v>
      </c>
      <c r="F307" s="1" t="s">
        <v>32</v>
      </c>
      <c r="G307" s="2">
        <v>44939</v>
      </c>
      <c r="H307">
        <v>12</v>
      </c>
      <c r="I307">
        <v>47865</v>
      </c>
      <c r="J307" s="1" t="s">
        <v>39</v>
      </c>
    </row>
    <row r="308" spans="1:10" x14ac:dyDescent="0.25">
      <c r="A308">
        <v>307</v>
      </c>
      <c r="B308" s="1" t="s">
        <v>20</v>
      </c>
      <c r="C308">
        <v>35</v>
      </c>
      <c r="D308" s="1" t="s">
        <v>21</v>
      </c>
      <c r="E308" s="1" t="s">
        <v>27</v>
      </c>
      <c r="F308" s="1" t="s">
        <v>23</v>
      </c>
      <c r="G308" s="2">
        <v>45130</v>
      </c>
      <c r="H308">
        <v>10</v>
      </c>
      <c r="I308">
        <v>27553</v>
      </c>
      <c r="J308" s="1" t="s">
        <v>39</v>
      </c>
    </row>
    <row r="309" spans="1:10" x14ac:dyDescent="0.25">
      <c r="A309">
        <v>308</v>
      </c>
      <c r="B309" s="1" t="s">
        <v>20</v>
      </c>
      <c r="C309">
        <v>1</v>
      </c>
      <c r="D309" s="1" t="s">
        <v>14</v>
      </c>
      <c r="E309" s="1" t="s">
        <v>27</v>
      </c>
      <c r="F309" s="1" t="s">
        <v>16</v>
      </c>
      <c r="G309" s="2">
        <v>45171</v>
      </c>
      <c r="H309">
        <v>13</v>
      </c>
      <c r="I309">
        <v>40965</v>
      </c>
      <c r="J309" s="1" t="s">
        <v>39</v>
      </c>
    </row>
    <row r="310" spans="1:10" x14ac:dyDescent="0.25">
      <c r="A310">
        <v>309</v>
      </c>
      <c r="B310" s="1" t="s">
        <v>20</v>
      </c>
      <c r="C310">
        <v>40</v>
      </c>
      <c r="D310" s="1" t="s">
        <v>37</v>
      </c>
      <c r="E310" s="1" t="s">
        <v>35</v>
      </c>
      <c r="F310" s="1" t="s">
        <v>23</v>
      </c>
      <c r="G310" s="2">
        <v>45055</v>
      </c>
      <c r="H310">
        <v>13</v>
      </c>
      <c r="I310">
        <v>40218</v>
      </c>
      <c r="J310" s="1" t="s">
        <v>39</v>
      </c>
    </row>
    <row r="311" spans="1:10" x14ac:dyDescent="0.25">
      <c r="A311">
        <v>310</v>
      </c>
      <c r="B311" s="1" t="s">
        <v>20</v>
      </c>
      <c r="C311">
        <v>64</v>
      </c>
      <c r="D311" s="1" t="s">
        <v>37</v>
      </c>
      <c r="E311" s="1" t="s">
        <v>31</v>
      </c>
      <c r="F311" s="1" t="s">
        <v>23</v>
      </c>
      <c r="G311" s="2">
        <v>45123</v>
      </c>
      <c r="H311">
        <v>11</v>
      </c>
      <c r="I311">
        <v>27359</v>
      </c>
      <c r="J311" s="1" t="s">
        <v>39</v>
      </c>
    </row>
    <row r="312" spans="1:10" x14ac:dyDescent="0.25">
      <c r="A312">
        <v>311</v>
      </c>
      <c r="B312" s="1" t="s">
        <v>20</v>
      </c>
      <c r="C312">
        <v>22</v>
      </c>
      <c r="D312" s="1" t="s">
        <v>21</v>
      </c>
      <c r="E312" s="1" t="s">
        <v>31</v>
      </c>
      <c r="F312" s="1" t="s">
        <v>23</v>
      </c>
      <c r="G312" s="2">
        <v>44975</v>
      </c>
      <c r="H312">
        <v>6</v>
      </c>
      <c r="I312">
        <v>26816</v>
      </c>
      <c r="J312" s="1" t="s">
        <v>24</v>
      </c>
    </row>
    <row r="313" spans="1:10" x14ac:dyDescent="0.25">
      <c r="A313">
        <v>312</v>
      </c>
      <c r="B313" s="1" t="s">
        <v>13</v>
      </c>
      <c r="C313">
        <v>60</v>
      </c>
      <c r="D313" s="1" t="s">
        <v>37</v>
      </c>
      <c r="E313" s="1" t="s">
        <v>35</v>
      </c>
      <c r="F313" s="1" t="s">
        <v>32</v>
      </c>
      <c r="G313" s="2">
        <v>45030</v>
      </c>
      <c r="H313">
        <v>8</v>
      </c>
      <c r="I313">
        <v>10378</v>
      </c>
      <c r="J313" s="1" t="s">
        <v>39</v>
      </c>
    </row>
    <row r="314" spans="1:10" x14ac:dyDescent="0.25">
      <c r="A314">
        <v>313</v>
      </c>
      <c r="B314" s="1" t="s">
        <v>20</v>
      </c>
      <c r="C314">
        <v>64</v>
      </c>
      <c r="D314" s="1" t="s">
        <v>30</v>
      </c>
      <c r="E314" s="1" t="s">
        <v>22</v>
      </c>
      <c r="F314" s="1" t="s">
        <v>28</v>
      </c>
      <c r="G314" s="2">
        <v>45067</v>
      </c>
      <c r="H314">
        <v>8</v>
      </c>
      <c r="I314">
        <v>3881</v>
      </c>
      <c r="J314" s="1" t="s">
        <v>24</v>
      </c>
    </row>
    <row r="315" spans="1:10" x14ac:dyDescent="0.25">
      <c r="A315">
        <v>314</v>
      </c>
      <c r="B315" s="1" t="s">
        <v>13</v>
      </c>
      <c r="C315">
        <v>72</v>
      </c>
      <c r="D315" s="1" t="s">
        <v>30</v>
      </c>
      <c r="E315" s="1" t="s">
        <v>22</v>
      </c>
      <c r="F315" s="1" t="s">
        <v>28</v>
      </c>
      <c r="G315" s="2">
        <v>45159</v>
      </c>
      <c r="H315">
        <v>11</v>
      </c>
      <c r="I315">
        <v>41567</v>
      </c>
      <c r="J315" s="1" t="s">
        <v>24</v>
      </c>
    </row>
    <row r="316" spans="1:10" x14ac:dyDescent="0.25">
      <c r="A316">
        <v>315</v>
      </c>
      <c r="B316" s="1" t="s">
        <v>13</v>
      </c>
      <c r="C316">
        <v>11</v>
      </c>
      <c r="D316" s="1" t="s">
        <v>21</v>
      </c>
      <c r="E316" s="1" t="s">
        <v>27</v>
      </c>
      <c r="F316" s="1" t="s">
        <v>16</v>
      </c>
      <c r="G316" s="2">
        <v>45046</v>
      </c>
      <c r="H316">
        <v>9</v>
      </c>
      <c r="I316">
        <v>49365</v>
      </c>
      <c r="J316" s="1" t="s">
        <v>24</v>
      </c>
    </row>
    <row r="317" spans="1:10" x14ac:dyDescent="0.25">
      <c r="A317">
        <v>316</v>
      </c>
      <c r="B317" s="1" t="s">
        <v>20</v>
      </c>
      <c r="C317">
        <v>14</v>
      </c>
      <c r="D317" s="1" t="s">
        <v>14</v>
      </c>
      <c r="E317" s="1" t="s">
        <v>15</v>
      </c>
      <c r="F317" s="1" t="s">
        <v>23</v>
      </c>
      <c r="G317" s="2">
        <v>45129</v>
      </c>
      <c r="H317">
        <v>8</v>
      </c>
      <c r="I317">
        <v>15675</v>
      </c>
      <c r="J317" s="1" t="s">
        <v>39</v>
      </c>
    </row>
    <row r="318" spans="1:10" x14ac:dyDescent="0.25">
      <c r="A318">
        <v>317</v>
      </c>
      <c r="B318" s="1" t="s">
        <v>13</v>
      </c>
      <c r="C318">
        <v>60</v>
      </c>
      <c r="D318" s="1" t="s">
        <v>34</v>
      </c>
      <c r="E318" s="1" t="s">
        <v>22</v>
      </c>
      <c r="F318" s="1" t="s">
        <v>32</v>
      </c>
      <c r="G318" s="2">
        <v>45084</v>
      </c>
      <c r="H318">
        <v>13</v>
      </c>
      <c r="I318">
        <v>6586</v>
      </c>
      <c r="J318" s="1" t="s">
        <v>39</v>
      </c>
    </row>
    <row r="319" spans="1:10" x14ac:dyDescent="0.25">
      <c r="A319">
        <v>318</v>
      </c>
      <c r="B319" s="1" t="s">
        <v>13</v>
      </c>
      <c r="C319">
        <v>30</v>
      </c>
      <c r="D319" s="1" t="s">
        <v>45</v>
      </c>
      <c r="E319" s="1" t="s">
        <v>15</v>
      </c>
      <c r="F319" s="1" t="s">
        <v>23</v>
      </c>
      <c r="G319" s="2">
        <v>45256</v>
      </c>
      <c r="H319">
        <v>11</v>
      </c>
      <c r="I319">
        <v>27006</v>
      </c>
      <c r="J319" s="1" t="s">
        <v>24</v>
      </c>
    </row>
    <row r="320" spans="1:10" x14ac:dyDescent="0.25">
      <c r="A320">
        <v>319</v>
      </c>
      <c r="B320" s="1" t="s">
        <v>13</v>
      </c>
      <c r="C320">
        <v>35</v>
      </c>
      <c r="D320" s="1" t="s">
        <v>34</v>
      </c>
      <c r="E320" s="1" t="s">
        <v>31</v>
      </c>
      <c r="F320" s="1" t="s">
        <v>23</v>
      </c>
      <c r="G320" s="2">
        <v>45204</v>
      </c>
      <c r="H320">
        <v>2</v>
      </c>
      <c r="I320">
        <v>43198</v>
      </c>
      <c r="J320" s="1" t="s">
        <v>39</v>
      </c>
    </row>
    <row r="321" spans="1:10" x14ac:dyDescent="0.25">
      <c r="A321">
        <v>320</v>
      </c>
      <c r="B321" s="1" t="s">
        <v>20</v>
      </c>
      <c r="C321">
        <v>85</v>
      </c>
      <c r="D321" s="1" t="s">
        <v>37</v>
      </c>
      <c r="E321" s="1" t="s">
        <v>15</v>
      </c>
      <c r="F321" s="1" t="s">
        <v>32</v>
      </c>
      <c r="G321" s="2">
        <v>45056</v>
      </c>
      <c r="H321">
        <v>14</v>
      </c>
      <c r="I321">
        <v>24831</v>
      </c>
      <c r="J321" s="1" t="s">
        <v>17</v>
      </c>
    </row>
    <row r="322" spans="1:10" x14ac:dyDescent="0.25">
      <c r="A322">
        <v>321</v>
      </c>
      <c r="B322" s="1" t="s">
        <v>20</v>
      </c>
      <c r="C322">
        <v>37</v>
      </c>
      <c r="D322" s="1" t="s">
        <v>45</v>
      </c>
      <c r="E322" s="1" t="s">
        <v>31</v>
      </c>
      <c r="F322" s="1" t="s">
        <v>28</v>
      </c>
      <c r="G322" s="2">
        <v>44983</v>
      </c>
      <c r="H322">
        <v>14</v>
      </c>
      <c r="I322">
        <v>37113</v>
      </c>
      <c r="J322" s="1" t="s">
        <v>24</v>
      </c>
    </row>
    <row r="323" spans="1:10" x14ac:dyDescent="0.25">
      <c r="A323">
        <v>322</v>
      </c>
      <c r="B323" s="1" t="s">
        <v>13</v>
      </c>
      <c r="C323">
        <v>5</v>
      </c>
      <c r="D323" s="1" t="s">
        <v>21</v>
      </c>
      <c r="E323" s="1" t="s">
        <v>35</v>
      </c>
      <c r="F323" s="1" t="s">
        <v>23</v>
      </c>
      <c r="G323" s="2">
        <v>45115</v>
      </c>
      <c r="H323">
        <v>12</v>
      </c>
      <c r="I323">
        <v>18459</v>
      </c>
      <c r="J323" s="1" t="s">
        <v>24</v>
      </c>
    </row>
    <row r="324" spans="1:10" x14ac:dyDescent="0.25">
      <c r="A324">
        <v>323</v>
      </c>
      <c r="B324" s="1" t="s">
        <v>20</v>
      </c>
      <c r="C324">
        <v>83</v>
      </c>
      <c r="D324" s="1" t="s">
        <v>21</v>
      </c>
      <c r="E324" s="1" t="s">
        <v>35</v>
      </c>
      <c r="F324" s="1" t="s">
        <v>23</v>
      </c>
      <c r="G324" s="2">
        <v>45014</v>
      </c>
      <c r="H324">
        <v>10</v>
      </c>
      <c r="I324">
        <v>34443</v>
      </c>
      <c r="J324" s="1" t="s">
        <v>39</v>
      </c>
    </row>
    <row r="325" spans="1:10" x14ac:dyDescent="0.25">
      <c r="A325">
        <v>324</v>
      </c>
      <c r="B325" s="1" t="s">
        <v>20</v>
      </c>
      <c r="C325">
        <v>78</v>
      </c>
      <c r="D325" s="1" t="s">
        <v>14</v>
      </c>
      <c r="E325" s="1" t="s">
        <v>27</v>
      </c>
      <c r="F325" s="1" t="s">
        <v>28</v>
      </c>
      <c r="G325" s="2">
        <v>45124</v>
      </c>
      <c r="H325">
        <v>12</v>
      </c>
      <c r="I325">
        <v>44316</v>
      </c>
      <c r="J325" s="1" t="s">
        <v>24</v>
      </c>
    </row>
    <row r="326" spans="1:10" x14ac:dyDescent="0.25">
      <c r="A326">
        <v>325</v>
      </c>
      <c r="B326" s="1" t="s">
        <v>20</v>
      </c>
      <c r="C326">
        <v>26</v>
      </c>
      <c r="D326" s="1" t="s">
        <v>45</v>
      </c>
      <c r="E326" s="1" t="s">
        <v>22</v>
      </c>
      <c r="F326" s="1" t="s">
        <v>32</v>
      </c>
      <c r="G326" s="2">
        <v>45280</v>
      </c>
      <c r="H326">
        <v>11</v>
      </c>
      <c r="I326">
        <v>32595</v>
      </c>
      <c r="J326" s="1" t="s">
        <v>24</v>
      </c>
    </row>
    <row r="327" spans="1:10" x14ac:dyDescent="0.25">
      <c r="A327">
        <v>326</v>
      </c>
      <c r="B327" s="1" t="s">
        <v>20</v>
      </c>
      <c r="C327">
        <v>62</v>
      </c>
      <c r="D327" s="1" t="s">
        <v>30</v>
      </c>
      <c r="E327" s="1" t="s">
        <v>27</v>
      </c>
      <c r="F327" s="1" t="s">
        <v>16</v>
      </c>
      <c r="G327" s="2">
        <v>45246</v>
      </c>
      <c r="H327">
        <v>1</v>
      </c>
      <c r="I327">
        <v>7877</v>
      </c>
      <c r="J327" s="1" t="s">
        <v>24</v>
      </c>
    </row>
    <row r="328" spans="1:10" x14ac:dyDescent="0.25">
      <c r="A328">
        <v>327</v>
      </c>
      <c r="B328" s="1" t="s">
        <v>13</v>
      </c>
      <c r="C328">
        <v>4</v>
      </c>
      <c r="D328" s="1" t="s">
        <v>45</v>
      </c>
      <c r="E328" s="1" t="s">
        <v>31</v>
      </c>
      <c r="F328" s="1" t="s">
        <v>28</v>
      </c>
      <c r="G328" s="2">
        <v>44986</v>
      </c>
      <c r="H328">
        <v>10</v>
      </c>
      <c r="I328">
        <v>41553</v>
      </c>
      <c r="J328" s="1" t="s">
        <v>24</v>
      </c>
    </row>
    <row r="329" spans="1:10" x14ac:dyDescent="0.25">
      <c r="A329">
        <v>328</v>
      </c>
      <c r="B329" s="1" t="s">
        <v>13</v>
      </c>
      <c r="C329">
        <v>89</v>
      </c>
      <c r="D329" s="1" t="s">
        <v>37</v>
      </c>
      <c r="E329" s="1" t="s">
        <v>27</v>
      </c>
      <c r="F329" s="1" t="s">
        <v>16</v>
      </c>
      <c r="G329" s="2">
        <v>45046</v>
      </c>
      <c r="H329">
        <v>2</v>
      </c>
      <c r="I329">
        <v>6922</v>
      </c>
      <c r="J329" s="1" t="s">
        <v>39</v>
      </c>
    </row>
    <row r="330" spans="1:10" x14ac:dyDescent="0.25">
      <c r="A330">
        <v>329</v>
      </c>
      <c r="B330" s="1" t="s">
        <v>20</v>
      </c>
      <c r="C330">
        <v>42</v>
      </c>
      <c r="D330" s="1" t="s">
        <v>30</v>
      </c>
      <c r="E330" s="1" t="s">
        <v>15</v>
      </c>
      <c r="F330" s="1" t="s">
        <v>16</v>
      </c>
      <c r="G330" s="2">
        <v>45208</v>
      </c>
      <c r="H330">
        <v>2</v>
      </c>
      <c r="I330">
        <v>6686</v>
      </c>
      <c r="J330" s="1" t="s">
        <v>24</v>
      </c>
    </row>
    <row r="331" spans="1:10" x14ac:dyDescent="0.25">
      <c r="A331">
        <v>330</v>
      </c>
      <c r="B331" s="1" t="s">
        <v>20</v>
      </c>
      <c r="C331">
        <v>89</v>
      </c>
      <c r="D331" s="1" t="s">
        <v>21</v>
      </c>
      <c r="E331" s="1" t="s">
        <v>31</v>
      </c>
      <c r="F331" s="1" t="s">
        <v>28</v>
      </c>
      <c r="G331" s="2">
        <v>45276</v>
      </c>
      <c r="H331">
        <v>12</v>
      </c>
      <c r="I331">
        <v>34766</v>
      </c>
      <c r="J331" s="1" t="s">
        <v>39</v>
      </c>
    </row>
    <row r="332" spans="1:10" x14ac:dyDescent="0.25">
      <c r="A332">
        <v>331</v>
      </c>
      <c r="B332" s="1" t="s">
        <v>13</v>
      </c>
      <c r="C332">
        <v>18</v>
      </c>
      <c r="D332" s="1" t="s">
        <v>45</v>
      </c>
      <c r="E332" s="1" t="s">
        <v>35</v>
      </c>
      <c r="F332" s="1" t="s">
        <v>23</v>
      </c>
      <c r="G332" s="2">
        <v>45109</v>
      </c>
      <c r="H332">
        <v>3</v>
      </c>
      <c r="I332">
        <v>16407</v>
      </c>
      <c r="J332" s="1" t="s">
        <v>39</v>
      </c>
    </row>
    <row r="333" spans="1:10" x14ac:dyDescent="0.25">
      <c r="A333">
        <v>332</v>
      </c>
      <c r="B333" s="1" t="s">
        <v>13</v>
      </c>
      <c r="C333">
        <v>40</v>
      </c>
      <c r="D333" s="1" t="s">
        <v>34</v>
      </c>
      <c r="E333" s="1" t="s">
        <v>22</v>
      </c>
      <c r="F333" s="1" t="s">
        <v>16</v>
      </c>
      <c r="G333" s="2">
        <v>45103</v>
      </c>
      <c r="H333">
        <v>10</v>
      </c>
      <c r="I333">
        <v>34006</v>
      </c>
      <c r="J333" s="1" t="s">
        <v>39</v>
      </c>
    </row>
    <row r="334" spans="1:10" x14ac:dyDescent="0.25">
      <c r="A334">
        <v>333</v>
      </c>
      <c r="B334" s="1" t="s">
        <v>20</v>
      </c>
      <c r="C334">
        <v>72</v>
      </c>
      <c r="D334" s="1" t="s">
        <v>14</v>
      </c>
      <c r="E334" s="1" t="s">
        <v>31</v>
      </c>
      <c r="F334" s="1" t="s">
        <v>16</v>
      </c>
      <c r="G334" s="2">
        <v>45176</v>
      </c>
      <c r="H334">
        <v>7</v>
      </c>
      <c r="I334">
        <v>33422</v>
      </c>
      <c r="J334" s="1" t="s">
        <v>24</v>
      </c>
    </row>
    <row r="335" spans="1:10" x14ac:dyDescent="0.25">
      <c r="A335">
        <v>334</v>
      </c>
      <c r="B335" s="1" t="s">
        <v>13</v>
      </c>
      <c r="C335">
        <v>39</v>
      </c>
      <c r="D335" s="1" t="s">
        <v>34</v>
      </c>
      <c r="E335" s="1" t="s">
        <v>31</v>
      </c>
      <c r="F335" s="1" t="s">
        <v>32</v>
      </c>
      <c r="G335" s="2">
        <v>44936</v>
      </c>
      <c r="H335">
        <v>2</v>
      </c>
      <c r="I335">
        <v>14205</v>
      </c>
      <c r="J335" s="1" t="s">
        <v>24</v>
      </c>
    </row>
    <row r="336" spans="1:10" x14ac:dyDescent="0.25">
      <c r="A336">
        <v>335</v>
      </c>
      <c r="B336" s="1" t="s">
        <v>20</v>
      </c>
      <c r="C336">
        <v>14</v>
      </c>
      <c r="D336" s="1" t="s">
        <v>14</v>
      </c>
      <c r="E336" s="1" t="s">
        <v>15</v>
      </c>
      <c r="F336" s="1" t="s">
        <v>23</v>
      </c>
      <c r="G336" s="2">
        <v>45089</v>
      </c>
      <c r="H336">
        <v>14</v>
      </c>
      <c r="I336">
        <v>23054</v>
      </c>
      <c r="J336" s="1" t="s">
        <v>24</v>
      </c>
    </row>
    <row r="337" spans="1:10" x14ac:dyDescent="0.25">
      <c r="A337">
        <v>336</v>
      </c>
      <c r="B337" s="1" t="s">
        <v>20</v>
      </c>
      <c r="C337">
        <v>32</v>
      </c>
      <c r="D337" s="1" t="s">
        <v>37</v>
      </c>
      <c r="E337" s="1" t="s">
        <v>22</v>
      </c>
      <c r="F337" s="1" t="s">
        <v>16</v>
      </c>
      <c r="G337" s="2">
        <v>45149</v>
      </c>
      <c r="H337">
        <v>1</v>
      </c>
      <c r="I337">
        <v>25527</v>
      </c>
      <c r="J337" s="1" t="s">
        <v>24</v>
      </c>
    </row>
    <row r="338" spans="1:10" x14ac:dyDescent="0.25">
      <c r="A338">
        <v>337</v>
      </c>
      <c r="B338" s="1" t="s">
        <v>13</v>
      </c>
      <c r="C338">
        <v>51</v>
      </c>
      <c r="D338" s="1" t="s">
        <v>34</v>
      </c>
      <c r="E338" s="1" t="s">
        <v>35</v>
      </c>
      <c r="F338" s="1" t="s">
        <v>32</v>
      </c>
      <c r="G338" s="2">
        <v>45203</v>
      </c>
      <c r="H338">
        <v>14</v>
      </c>
      <c r="I338">
        <v>47947</v>
      </c>
      <c r="J338" s="1" t="s">
        <v>39</v>
      </c>
    </row>
    <row r="339" spans="1:10" x14ac:dyDescent="0.25">
      <c r="A339">
        <v>338</v>
      </c>
      <c r="B339" s="1" t="s">
        <v>13</v>
      </c>
      <c r="C339">
        <v>38</v>
      </c>
      <c r="D339" s="1" t="s">
        <v>45</v>
      </c>
      <c r="E339" s="1" t="s">
        <v>31</v>
      </c>
      <c r="F339" s="1" t="s">
        <v>23</v>
      </c>
      <c r="G339" s="2">
        <v>45106</v>
      </c>
      <c r="H339">
        <v>6</v>
      </c>
      <c r="I339">
        <v>20443</v>
      </c>
      <c r="J339" s="1" t="s">
        <v>24</v>
      </c>
    </row>
    <row r="340" spans="1:10" x14ac:dyDescent="0.25">
      <c r="A340">
        <v>339</v>
      </c>
      <c r="B340" s="1" t="s">
        <v>20</v>
      </c>
      <c r="C340">
        <v>23</v>
      </c>
      <c r="D340" s="1" t="s">
        <v>45</v>
      </c>
      <c r="E340" s="1" t="s">
        <v>31</v>
      </c>
      <c r="F340" s="1" t="s">
        <v>28</v>
      </c>
      <c r="G340" s="2">
        <v>45187</v>
      </c>
      <c r="H340">
        <v>9</v>
      </c>
      <c r="I340">
        <v>18524</v>
      </c>
      <c r="J340" s="1" t="s">
        <v>24</v>
      </c>
    </row>
    <row r="341" spans="1:10" x14ac:dyDescent="0.25">
      <c r="A341">
        <v>340</v>
      </c>
      <c r="B341" s="1" t="s">
        <v>20</v>
      </c>
      <c r="C341">
        <v>63</v>
      </c>
      <c r="D341" s="1" t="s">
        <v>34</v>
      </c>
      <c r="E341" s="1" t="s">
        <v>15</v>
      </c>
      <c r="F341" s="1" t="s">
        <v>28</v>
      </c>
      <c r="G341" s="2">
        <v>45188</v>
      </c>
      <c r="H341">
        <v>3</v>
      </c>
      <c r="I341">
        <v>30202</v>
      </c>
      <c r="J341" s="1" t="s">
        <v>24</v>
      </c>
    </row>
    <row r="342" spans="1:10" x14ac:dyDescent="0.25">
      <c r="A342">
        <v>341</v>
      </c>
      <c r="B342" s="1" t="s">
        <v>13</v>
      </c>
      <c r="C342">
        <v>15</v>
      </c>
      <c r="D342" s="1" t="s">
        <v>45</v>
      </c>
      <c r="E342" s="1" t="s">
        <v>27</v>
      </c>
      <c r="F342" s="1" t="s">
        <v>32</v>
      </c>
      <c r="G342" s="2">
        <v>44989</v>
      </c>
      <c r="H342">
        <v>6</v>
      </c>
      <c r="I342">
        <v>2016</v>
      </c>
      <c r="J342" s="1" t="s">
        <v>39</v>
      </c>
    </row>
    <row r="343" spans="1:10" x14ac:dyDescent="0.25">
      <c r="A343">
        <v>342</v>
      </c>
      <c r="B343" s="1" t="s">
        <v>20</v>
      </c>
      <c r="C343">
        <v>25</v>
      </c>
      <c r="D343" s="1" t="s">
        <v>37</v>
      </c>
      <c r="E343" s="1" t="s">
        <v>35</v>
      </c>
      <c r="F343" s="1" t="s">
        <v>28</v>
      </c>
      <c r="G343" s="2">
        <v>45040</v>
      </c>
      <c r="H343">
        <v>3</v>
      </c>
      <c r="I343">
        <v>48142</v>
      </c>
      <c r="J343" s="1" t="s">
        <v>39</v>
      </c>
    </row>
    <row r="344" spans="1:10" x14ac:dyDescent="0.25">
      <c r="A344">
        <v>343</v>
      </c>
      <c r="B344" s="1" t="s">
        <v>13</v>
      </c>
      <c r="C344">
        <v>17</v>
      </c>
      <c r="D344" s="1" t="s">
        <v>30</v>
      </c>
      <c r="E344" s="1" t="s">
        <v>22</v>
      </c>
      <c r="F344" s="1" t="s">
        <v>16</v>
      </c>
      <c r="G344" s="2">
        <v>45086</v>
      </c>
      <c r="H344">
        <v>14</v>
      </c>
      <c r="I344">
        <v>18848</v>
      </c>
      <c r="J344" s="1" t="s">
        <v>24</v>
      </c>
    </row>
    <row r="345" spans="1:10" x14ac:dyDescent="0.25">
      <c r="A345">
        <v>344</v>
      </c>
      <c r="B345" s="1" t="s">
        <v>20</v>
      </c>
      <c r="C345">
        <v>66</v>
      </c>
      <c r="D345" s="1" t="s">
        <v>37</v>
      </c>
      <c r="E345" s="1" t="s">
        <v>31</v>
      </c>
      <c r="F345" s="1" t="s">
        <v>23</v>
      </c>
      <c r="G345" s="2">
        <v>44953</v>
      </c>
      <c r="H345">
        <v>13</v>
      </c>
      <c r="I345">
        <v>22855</v>
      </c>
      <c r="J345" s="1" t="s">
        <v>39</v>
      </c>
    </row>
    <row r="346" spans="1:10" x14ac:dyDescent="0.25">
      <c r="A346">
        <v>345</v>
      </c>
      <c r="B346" s="1" t="s">
        <v>13</v>
      </c>
      <c r="C346">
        <v>78</v>
      </c>
      <c r="D346" s="1" t="s">
        <v>14</v>
      </c>
      <c r="E346" s="1" t="s">
        <v>31</v>
      </c>
      <c r="F346" s="1" t="s">
        <v>16</v>
      </c>
      <c r="G346" s="2">
        <v>45194</v>
      </c>
      <c r="H346">
        <v>1</v>
      </c>
      <c r="I346">
        <v>20211</v>
      </c>
      <c r="J346" s="1" t="s">
        <v>24</v>
      </c>
    </row>
    <row r="347" spans="1:10" x14ac:dyDescent="0.25">
      <c r="A347">
        <v>346</v>
      </c>
      <c r="B347" s="1" t="s">
        <v>13</v>
      </c>
      <c r="C347">
        <v>53</v>
      </c>
      <c r="D347" s="1" t="s">
        <v>37</v>
      </c>
      <c r="E347" s="1" t="s">
        <v>35</v>
      </c>
      <c r="F347" s="1" t="s">
        <v>16</v>
      </c>
      <c r="G347" s="2">
        <v>44997</v>
      </c>
      <c r="H347">
        <v>14</v>
      </c>
      <c r="I347">
        <v>27095</v>
      </c>
      <c r="J347" s="1" t="s">
        <v>24</v>
      </c>
    </row>
    <row r="348" spans="1:10" x14ac:dyDescent="0.25">
      <c r="A348">
        <v>347</v>
      </c>
      <c r="B348" s="1" t="s">
        <v>13</v>
      </c>
      <c r="C348">
        <v>51</v>
      </c>
      <c r="D348" s="1" t="s">
        <v>14</v>
      </c>
      <c r="E348" s="1" t="s">
        <v>27</v>
      </c>
      <c r="F348" s="1" t="s">
        <v>28</v>
      </c>
      <c r="G348" s="2">
        <v>45245</v>
      </c>
      <c r="H348">
        <v>13</v>
      </c>
      <c r="I348">
        <v>40724</v>
      </c>
      <c r="J348" s="1" t="s">
        <v>39</v>
      </c>
    </row>
    <row r="349" spans="1:10" x14ac:dyDescent="0.25">
      <c r="A349">
        <v>348</v>
      </c>
      <c r="B349" s="1" t="s">
        <v>20</v>
      </c>
      <c r="C349">
        <v>39</v>
      </c>
      <c r="D349" s="1" t="s">
        <v>45</v>
      </c>
      <c r="E349" s="1" t="s">
        <v>31</v>
      </c>
      <c r="F349" s="1" t="s">
        <v>16</v>
      </c>
      <c r="G349" s="2">
        <v>45084</v>
      </c>
      <c r="H349">
        <v>12</v>
      </c>
      <c r="I349">
        <v>39583</v>
      </c>
      <c r="J349" s="1" t="s">
        <v>24</v>
      </c>
    </row>
    <row r="350" spans="1:10" x14ac:dyDescent="0.25">
      <c r="A350">
        <v>349</v>
      </c>
      <c r="B350" s="1" t="s">
        <v>20</v>
      </c>
      <c r="C350">
        <v>51</v>
      </c>
      <c r="D350" s="1" t="s">
        <v>30</v>
      </c>
      <c r="E350" s="1" t="s">
        <v>35</v>
      </c>
      <c r="F350" s="1" t="s">
        <v>28</v>
      </c>
      <c r="G350" s="2">
        <v>45176</v>
      </c>
      <c r="H350">
        <v>5</v>
      </c>
      <c r="I350">
        <v>4843</v>
      </c>
      <c r="J350" s="1" t="s">
        <v>17</v>
      </c>
    </row>
    <row r="351" spans="1:10" x14ac:dyDescent="0.25">
      <c r="A351">
        <v>350</v>
      </c>
      <c r="B351" s="1" t="s">
        <v>13</v>
      </c>
      <c r="C351">
        <v>70</v>
      </c>
      <c r="D351" s="1" t="s">
        <v>45</v>
      </c>
      <c r="E351" s="1" t="s">
        <v>15</v>
      </c>
      <c r="F351" s="1" t="s">
        <v>23</v>
      </c>
      <c r="G351" s="2">
        <v>45264</v>
      </c>
      <c r="H351">
        <v>10</v>
      </c>
      <c r="I351">
        <v>31301</v>
      </c>
      <c r="J351" s="1" t="s">
        <v>24</v>
      </c>
    </row>
    <row r="352" spans="1:10" x14ac:dyDescent="0.25">
      <c r="A352">
        <v>351</v>
      </c>
      <c r="B352" s="1" t="s">
        <v>20</v>
      </c>
      <c r="C352">
        <v>6</v>
      </c>
      <c r="D352" s="1" t="s">
        <v>21</v>
      </c>
      <c r="E352" s="1" t="s">
        <v>27</v>
      </c>
      <c r="F352" s="1" t="s">
        <v>23</v>
      </c>
      <c r="G352" s="2">
        <v>44969</v>
      </c>
      <c r="H352">
        <v>14</v>
      </c>
      <c r="I352">
        <v>28460</v>
      </c>
      <c r="J352" s="1" t="s">
        <v>24</v>
      </c>
    </row>
    <row r="353" spans="1:10" x14ac:dyDescent="0.25">
      <c r="A353">
        <v>352</v>
      </c>
      <c r="B353" s="1" t="s">
        <v>13</v>
      </c>
      <c r="C353">
        <v>67</v>
      </c>
      <c r="D353" s="1" t="s">
        <v>45</v>
      </c>
      <c r="E353" s="1" t="s">
        <v>22</v>
      </c>
      <c r="F353" s="1" t="s">
        <v>16</v>
      </c>
      <c r="G353" s="2">
        <v>44949</v>
      </c>
      <c r="H353">
        <v>13</v>
      </c>
      <c r="I353">
        <v>33918</v>
      </c>
      <c r="J353" s="1" t="s">
        <v>17</v>
      </c>
    </row>
    <row r="354" spans="1:10" x14ac:dyDescent="0.25">
      <c r="A354">
        <v>353</v>
      </c>
      <c r="B354" s="1" t="s">
        <v>13</v>
      </c>
      <c r="C354">
        <v>7</v>
      </c>
      <c r="D354" s="1" t="s">
        <v>14</v>
      </c>
      <c r="E354" s="1" t="s">
        <v>31</v>
      </c>
      <c r="F354" s="1" t="s">
        <v>32</v>
      </c>
      <c r="G354" s="2">
        <v>45214</v>
      </c>
      <c r="H354">
        <v>11</v>
      </c>
      <c r="I354">
        <v>30747</v>
      </c>
      <c r="J354" s="1" t="s">
        <v>24</v>
      </c>
    </row>
    <row r="355" spans="1:10" x14ac:dyDescent="0.25">
      <c r="A355">
        <v>354</v>
      </c>
      <c r="B355" s="1" t="s">
        <v>20</v>
      </c>
      <c r="C355">
        <v>51</v>
      </c>
      <c r="D355" s="1" t="s">
        <v>45</v>
      </c>
      <c r="E355" s="1" t="s">
        <v>35</v>
      </c>
      <c r="F355" s="1" t="s">
        <v>28</v>
      </c>
      <c r="G355" s="2">
        <v>45211</v>
      </c>
      <c r="H355">
        <v>4</v>
      </c>
      <c r="I355">
        <v>17972</v>
      </c>
      <c r="J355" s="1" t="s">
        <v>17</v>
      </c>
    </row>
    <row r="356" spans="1:10" x14ac:dyDescent="0.25">
      <c r="A356">
        <v>355</v>
      </c>
      <c r="B356" s="1" t="s">
        <v>20</v>
      </c>
      <c r="C356">
        <v>72</v>
      </c>
      <c r="D356" s="1" t="s">
        <v>45</v>
      </c>
      <c r="E356" s="1" t="s">
        <v>15</v>
      </c>
      <c r="F356" s="1" t="s">
        <v>28</v>
      </c>
      <c r="G356" s="2">
        <v>45024</v>
      </c>
      <c r="H356">
        <v>7</v>
      </c>
      <c r="I356">
        <v>30310</v>
      </c>
      <c r="J356" s="1" t="s">
        <v>17</v>
      </c>
    </row>
    <row r="357" spans="1:10" x14ac:dyDescent="0.25">
      <c r="A357">
        <v>356</v>
      </c>
      <c r="B357" s="1" t="s">
        <v>13</v>
      </c>
      <c r="C357">
        <v>42</v>
      </c>
      <c r="D357" s="1" t="s">
        <v>30</v>
      </c>
      <c r="E357" s="1" t="s">
        <v>22</v>
      </c>
      <c r="F357" s="1" t="s">
        <v>16</v>
      </c>
      <c r="G357" s="2">
        <v>45130</v>
      </c>
      <c r="H357">
        <v>6</v>
      </c>
      <c r="I357">
        <v>24927</v>
      </c>
      <c r="J357" s="1" t="s">
        <v>24</v>
      </c>
    </row>
    <row r="358" spans="1:10" x14ac:dyDescent="0.25">
      <c r="A358">
        <v>357</v>
      </c>
      <c r="B358" s="1" t="s">
        <v>20</v>
      </c>
      <c r="C358">
        <v>64</v>
      </c>
      <c r="D358" s="1" t="s">
        <v>45</v>
      </c>
      <c r="E358" s="1" t="s">
        <v>35</v>
      </c>
      <c r="F358" s="1" t="s">
        <v>28</v>
      </c>
      <c r="G358" s="2">
        <v>45226</v>
      </c>
      <c r="H358">
        <v>10</v>
      </c>
      <c r="I358">
        <v>3094</v>
      </c>
      <c r="J358" s="1" t="s">
        <v>24</v>
      </c>
    </row>
    <row r="359" spans="1:10" x14ac:dyDescent="0.25">
      <c r="A359">
        <v>358</v>
      </c>
      <c r="B359" s="1" t="s">
        <v>20</v>
      </c>
      <c r="C359">
        <v>15</v>
      </c>
      <c r="D359" s="1" t="s">
        <v>30</v>
      </c>
      <c r="E359" s="1" t="s">
        <v>35</v>
      </c>
      <c r="F359" s="1" t="s">
        <v>28</v>
      </c>
      <c r="G359" s="2">
        <v>45104</v>
      </c>
      <c r="H359">
        <v>7</v>
      </c>
      <c r="I359">
        <v>40892</v>
      </c>
      <c r="J359" s="1" t="s">
        <v>24</v>
      </c>
    </row>
    <row r="360" spans="1:10" x14ac:dyDescent="0.25">
      <c r="A360">
        <v>359</v>
      </c>
      <c r="B360" s="1" t="s">
        <v>13</v>
      </c>
      <c r="C360">
        <v>29</v>
      </c>
      <c r="D360" s="1" t="s">
        <v>34</v>
      </c>
      <c r="E360" s="1" t="s">
        <v>22</v>
      </c>
      <c r="F360" s="1" t="s">
        <v>32</v>
      </c>
      <c r="G360" s="2">
        <v>44937</v>
      </c>
      <c r="H360">
        <v>5</v>
      </c>
      <c r="I360">
        <v>36172</v>
      </c>
      <c r="J360" s="1" t="s">
        <v>24</v>
      </c>
    </row>
    <row r="361" spans="1:10" x14ac:dyDescent="0.25">
      <c r="A361">
        <v>360</v>
      </c>
      <c r="B361" s="1" t="s">
        <v>13</v>
      </c>
      <c r="C361">
        <v>33</v>
      </c>
      <c r="D361" s="1" t="s">
        <v>21</v>
      </c>
      <c r="E361" s="1" t="s">
        <v>15</v>
      </c>
      <c r="F361" s="1" t="s">
        <v>32</v>
      </c>
      <c r="G361" s="2">
        <v>45121</v>
      </c>
      <c r="H361">
        <v>4</v>
      </c>
      <c r="I361">
        <v>25324</v>
      </c>
      <c r="J361" s="1" t="s">
        <v>24</v>
      </c>
    </row>
    <row r="362" spans="1:10" x14ac:dyDescent="0.25">
      <c r="A362">
        <v>361</v>
      </c>
      <c r="B362" s="1" t="s">
        <v>20</v>
      </c>
      <c r="C362">
        <v>27</v>
      </c>
      <c r="D362" s="1" t="s">
        <v>30</v>
      </c>
      <c r="E362" s="1" t="s">
        <v>15</v>
      </c>
      <c r="F362" s="1" t="s">
        <v>16</v>
      </c>
      <c r="G362" s="2">
        <v>45054</v>
      </c>
      <c r="H362">
        <v>7</v>
      </c>
      <c r="I362">
        <v>22674</v>
      </c>
      <c r="J362" s="1" t="s">
        <v>24</v>
      </c>
    </row>
    <row r="363" spans="1:10" x14ac:dyDescent="0.25">
      <c r="A363">
        <v>362</v>
      </c>
      <c r="B363" s="1" t="s">
        <v>13</v>
      </c>
      <c r="C363">
        <v>36</v>
      </c>
      <c r="D363" s="1" t="s">
        <v>14</v>
      </c>
      <c r="E363" s="1" t="s">
        <v>27</v>
      </c>
      <c r="F363" s="1" t="s">
        <v>32</v>
      </c>
      <c r="G363" s="2">
        <v>44959</v>
      </c>
      <c r="H363">
        <v>7</v>
      </c>
      <c r="I363">
        <v>5982</v>
      </c>
      <c r="J363" s="1" t="s">
        <v>24</v>
      </c>
    </row>
    <row r="364" spans="1:10" x14ac:dyDescent="0.25">
      <c r="A364">
        <v>363</v>
      </c>
      <c r="B364" s="1" t="s">
        <v>13</v>
      </c>
      <c r="C364">
        <v>29</v>
      </c>
      <c r="D364" s="1" t="s">
        <v>34</v>
      </c>
      <c r="E364" s="1" t="s">
        <v>31</v>
      </c>
      <c r="F364" s="1" t="s">
        <v>16</v>
      </c>
      <c r="G364" s="2">
        <v>45009</v>
      </c>
      <c r="H364">
        <v>6</v>
      </c>
      <c r="I364">
        <v>47283</v>
      </c>
      <c r="J364" s="1" t="s">
        <v>24</v>
      </c>
    </row>
    <row r="365" spans="1:10" x14ac:dyDescent="0.25">
      <c r="A365">
        <v>364</v>
      </c>
      <c r="B365" s="1" t="s">
        <v>20</v>
      </c>
      <c r="C365">
        <v>38</v>
      </c>
      <c r="D365" s="1" t="s">
        <v>30</v>
      </c>
      <c r="E365" s="1" t="s">
        <v>22</v>
      </c>
      <c r="F365" s="1" t="s">
        <v>23</v>
      </c>
      <c r="G365" s="2">
        <v>45011</v>
      </c>
      <c r="H365">
        <v>8</v>
      </c>
      <c r="I365">
        <v>17790</v>
      </c>
      <c r="J365" s="1" t="s">
        <v>17</v>
      </c>
    </row>
    <row r="366" spans="1:10" x14ac:dyDescent="0.25">
      <c r="A366">
        <v>365</v>
      </c>
      <c r="B366" s="1" t="s">
        <v>13</v>
      </c>
      <c r="C366">
        <v>57</v>
      </c>
      <c r="D366" s="1" t="s">
        <v>30</v>
      </c>
      <c r="E366" s="1" t="s">
        <v>22</v>
      </c>
      <c r="F366" s="1" t="s">
        <v>16</v>
      </c>
      <c r="G366" s="2">
        <v>45089</v>
      </c>
      <c r="H366">
        <v>4</v>
      </c>
      <c r="I366">
        <v>14205</v>
      </c>
      <c r="J366" s="1" t="s">
        <v>39</v>
      </c>
    </row>
    <row r="367" spans="1:10" x14ac:dyDescent="0.25">
      <c r="A367">
        <v>366</v>
      </c>
      <c r="B367" s="1" t="s">
        <v>13</v>
      </c>
      <c r="C367">
        <v>27</v>
      </c>
      <c r="D367" s="1" t="s">
        <v>21</v>
      </c>
      <c r="E367" s="1" t="s">
        <v>22</v>
      </c>
      <c r="F367" s="1" t="s">
        <v>23</v>
      </c>
      <c r="G367" s="2">
        <v>45194</v>
      </c>
      <c r="H367">
        <v>10</v>
      </c>
      <c r="I367">
        <v>26338</v>
      </c>
      <c r="J367" s="1" t="s">
        <v>39</v>
      </c>
    </row>
    <row r="368" spans="1:10" x14ac:dyDescent="0.25">
      <c r="A368">
        <v>367</v>
      </c>
      <c r="B368" s="1" t="s">
        <v>20</v>
      </c>
      <c r="C368">
        <v>55</v>
      </c>
      <c r="D368" s="1" t="s">
        <v>14</v>
      </c>
      <c r="E368" s="1" t="s">
        <v>15</v>
      </c>
      <c r="F368" s="1" t="s">
        <v>16</v>
      </c>
      <c r="G368" s="2">
        <v>45069</v>
      </c>
      <c r="H368">
        <v>5</v>
      </c>
      <c r="I368">
        <v>14748</v>
      </c>
      <c r="J368" s="1" t="s">
        <v>24</v>
      </c>
    </row>
    <row r="369" spans="1:10" x14ac:dyDescent="0.25">
      <c r="A369">
        <v>368</v>
      </c>
      <c r="B369" s="1" t="s">
        <v>20</v>
      </c>
      <c r="C369">
        <v>33</v>
      </c>
      <c r="D369" s="1" t="s">
        <v>37</v>
      </c>
      <c r="E369" s="1" t="s">
        <v>31</v>
      </c>
      <c r="F369" s="1" t="s">
        <v>28</v>
      </c>
      <c r="G369" s="2">
        <v>45051</v>
      </c>
      <c r="H369">
        <v>4</v>
      </c>
      <c r="I369">
        <v>23097</v>
      </c>
      <c r="J369" s="1" t="s">
        <v>39</v>
      </c>
    </row>
    <row r="370" spans="1:10" x14ac:dyDescent="0.25">
      <c r="A370">
        <v>369</v>
      </c>
      <c r="B370" s="1" t="s">
        <v>13</v>
      </c>
      <c r="C370">
        <v>68</v>
      </c>
      <c r="D370" s="1" t="s">
        <v>37</v>
      </c>
      <c r="E370" s="1" t="s">
        <v>27</v>
      </c>
      <c r="F370" s="1" t="s">
        <v>32</v>
      </c>
      <c r="G370" s="2">
        <v>45088</v>
      </c>
      <c r="H370">
        <v>12</v>
      </c>
      <c r="I370">
        <v>5092</v>
      </c>
      <c r="J370" s="1" t="s">
        <v>24</v>
      </c>
    </row>
    <row r="371" spans="1:10" x14ac:dyDescent="0.25">
      <c r="A371">
        <v>370</v>
      </c>
      <c r="B371" s="1" t="s">
        <v>13</v>
      </c>
      <c r="C371">
        <v>86</v>
      </c>
      <c r="D371" s="1" t="s">
        <v>30</v>
      </c>
      <c r="E371" s="1" t="s">
        <v>35</v>
      </c>
      <c r="F371" s="1" t="s">
        <v>23</v>
      </c>
      <c r="G371" s="2">
        <v>45264</v>
      </c>
      <c r="H371">
        <v>1</v>
      </c>
      <c r="I371">
        <v>24692</v>
      </c>
      <c r="J371" s="1" t="s">
        <v>39</v>
      </c>
    </row>
    <row r="372" spans="1:10" x14ac:dyDescent="0.25">
      <c r="A372">
        <v>371</v>
      </c>
      <c r="B372" s="1" t="s">
        <v>20</v>
      </c>
      <c r="C372">
        <v>66</v>
      </c>
      <c r="D372" s="1" t="s">
        <v>45</v>
      </c>
      <c r="E372" s="1" t="s">
        <v>35</v>
      </c>
      <c r="F372" s="1" t="s">
        <v>16</v>
      </c>
      <c r="G372" s="2">
        <v>45024</v>
      </c>
      <c r="H372">
        <v>12</v>
      </c>
      <c r="I372">
        <v>25862</v>
      </c>
      <c r="J372" s="1" t="s">
        <v>17</v>
      </c>
    </row>
    <row r="373" spans="1:10" x14ac:dyDescent="0.25">
      <c r="A373">
        <v>372</v>
      </c>
      <c r="B373" s="1" t="s">
        <v>20</v>
      </c>
      <c r="C373">
        <v>10</v>
      </c>
      <c r="D373" s="1" t="s">
        <v>14</v>
      </c>
      <c r="E373" s="1" t="s">
        <v>22</v>
      </c>
      <c r="F373" s="1" t="s">
        <v>32</v>
      </c>
      <c r="G373" s="2">
        <v>45123</v>
      </c>
      <c r="H373">
        <v>8</v>
      </c>
      <c r="I373">
        <v>26860</v>
      </c>
      <c r="J373" s="1" t="s">
        <v>24</v>
      </c>
    </row>
    <row r="374" spans="1:10" x14ac:dyDescent="0.25">
      <c r="A374">
        <v>373</v>
      </c>
      <c r="B374" s="1" t="s">
        <v>20</v>
      </c>
      <c r="C374">
        <v>5</v>
      </c>
      <c r="D374" s="1" t="s">
        <v>34</v>
      </c>
      <c r="E374" s="1" t="s">
        <v>31</v>
      </c>
      <c r="F374" s="1" t="s">
        <v>16</v>
      </c>
      <c r="G374" s="2">
        <v>45262</v>
      </c>
      <c r="H374">
        <v>1</v>
      </c>
      <c r="I374">
        <v>15971</v>
      </c>
      <c r="J374" s="1" t="s">
        <v>24</v>
      </c>
    </row>
    <row r="375" spans="1:10" x14ac:dyDescent="0.25">
      <c r="A375">
        <v>374</v>
      </c>
      <c r="B375" s="1" t="s">
        <v>20</v>
      </c>
      <c r="C375">
        <v>74</v>
      </c>
      <c r="D375" s="1" t="s">
        <v>45</v>
      </c>
      <c r="E375" s="1" t="s">
        <v>15</v>
      </c>
      <c r="F375" s="1" t="s">
        <v>32</v>
      </c>
      <c r="G375" s="2">
        <v>45263</v>
      </c>
      <c r="H375">
        <v>5</v>
      </c>
      <c r="I375">
        <v>16616</v>
      </c>
      <c r="J375" s="1" t="s">
        <v>39</v>
      </c>
    </row>
    <row r="376" spans="1:10" x14ac:dyDescent="0.25">
      <c r="A376">
        <v>375</v>
      </c>
      <c r="B376" s="1" t="s">
        <v>13</v>
      </c>
      <c r="C376">
        <v>38</v>
      </c>
      <c r="D376" s="1" t="s">
        <v>45</v>
      </c>
      <c r="E376" s="1" t="s">
        <v>31</v>
      </c>
      <c r="F376" s="1" t="s">
        <v>32</v>
      </c>
      <c r="G376" s="2">
        <v>45258</v>
      </c>
      <c r="H376">
        <v>6</v>
      </c>
      <c r="I376">
        <v>6933</v>
      </c>
      <c r="J376" s="1" t="s">
        <v>17</v>
      </c>
    </row>
    <row r="377" spans="1:10" x14ac:dyDescent="0.25">
      <c r="A377">
        <v>376</v>
      </c>
      <c r="B377" s="1" t="s">
        <v>20</v>
      </c>
      <c r="C377">
        <v>13</v>
      </c>
      <c r="D377" s="1" t="s">
        <v>14</v>
      </c>
      <c r="E377" s="1" t="s">
        <v>31</v>
      </c>
      <c r="F377" s="1" t="s">
        <v>16</v>
      </c>
      <c r="G377" s="2">
        <v>45082</v>
      </c>
      <c r="H377">
        <v>6</v>
      </c>
      <c r="I377">
        <v>6926</v>
      </c>
      <c r="J377" s="1" t="s">
        <v>39</v>
      </c>
    </row>
    <row r="378" spans="1:10" x14ac:dyDescent="0.25">
      <c r="A378">
        <v>377</v>
      </c>
      <c r="B378" s="1" t="s">
        <v>20</v>
      </c>
      <c r="C378">
        <v>31</v>
      </c>
      <c r="D378" s="1" t="s">
        <v>30</v>
      </c>
      <c r="E378" s="1" t="s">
        <v>15</v>
      </c>
      <c r="F378" s="1" t="s">
        <v>23</v>
      </c>
      <c r="G378" s="2">
        <v>45210</v>
      </c>
      <c r="H378">
        <v>13</v>
      </c>
      <c r="I378">
        <v>27763</v>
      </c>
      <c r="J378" s="1" t="s">
        <v>24</v>
      </c>
    </row>
    <row r="379" spans="1:10" x14ac:dyDescent="0.25">
      <c r="A379">
        <v>378</v>
      </c>
      <c r="B379" s="1" t="s">
        <v>13</v>
      </c>
      <c r="C379">
        <v>47</v>
      </c>
      <c r="D379" s="1" t="s">
        <v>30</v>
      </c>
      <c r="E379" s="1" t="s">
        <v>22</v>
      </c>
      <c r="F379" s="1" t="s">
        <v>23</v>
      </c>
      <c r="G379" s="2">
        <v>45172</v>
      </c>
      <c r="H379">
        <v>5</v>
      </c>
      <c r="I379">
        <v>5969</v>
      </c>
      <c r="J379" s="1" t="s">
        <v>24</v>
      </c>
    </row>
    <row r="380" spans="1:10" x14ac:dyDescent="0.25">
      <c r="A380">
        <v>379</v>
      </c>
      <c r="B380" s="1" t="s">
        <v>20</v>
      </c>
      <c r="C380">
        <v>88</v>
      </c>
      <c r="D380" s="1" t="s">
        <v>30</v>
      </c>
      <c r="E380" s="1" t="s">
        <v>31</v>
      </c>
      <c r="F380" s="1" t="s">
        <v>28</v>
      </c>
      <c r="G380" s="2">
        <v>45166</v>
      </c>
      <c r="H380">
        <v>3</v>
      </c>
      <c r="I380">
        <v>37733</v>
      </c>
      <c r="J380" s="1" t="s">
        <v>24</v>
      </c>
    </row>
    <row r="381" spans="1:10" x14ac:dyDescent="0.25">
      <c r="A381">
        <v>380</v>
      </c>
      <c r="B381" s="1" t="s">
        <v>13</v>
      </c>
      <c r="C381">
        <v>52</v>
      </c>
      <c r="D381" s="1" t="s">
        <v>30</v>
      </c>
      <c r="E381" s="1" t="s">
        <v>35</v>
      </c>
      <c r="F381" s="1" t="s">
        <v>32</v>
      </c>
      <c r="G381" s="2">
        <v>45107</v>
      </c>
      <c r="H381">
        <v>5</v>
      </c>
      <c r="I381">
        <v>6319</v>
      </c>
      <c r="J381" s="1" t="s">
        <v>39</v>
      </c>
    </row>
    <row r="382" spans="1:10" x14ac:dyDescent="0.25">
      <c r="A382">
        <v>381</v>
      </c>
      <c r="B382" s="1" t="s">
        <v>20</v>
      </c>
      <c r="C382">
        <v>56</v>
      </c>
      <c r="D382" s="1" t="s">
        <v>37</v>
      </c>
      <c r="E382" s="1" t="s">
        <v>15</v>
      </c>
      <c r="F382" s="1" t="s">
        <v>28</v>
      </c>
      <c r="G382" s="2">
        <v>45093</v>
      </c>
      <c r="H382">
        <v>12</v>
      </c>
      <c r="I382">
        <v>43743</v>
      </c>
      <c r="J382" s="1" t="s">
        <v>24</v>
      </c>
    </row>
    <row r="383" spans="1:10" x14ac:dyDescent="0.25">
      <c r="A383">
        <v>382</v>
      </c>
      <c r="B383" s="1" t="s">
        <v>20</v>
      </c>
      <c r="C383">
        <v>15</v>
      </c>
      <c r="D383" s="1" t="s">
        <v>30</v>
      </c>
      <c r="E383" s="1" t="s">
        <v>27</v>
      </c>
      <c r="F383" s="1" t="s">
        <v>28</v>
      </c>
      <c r="G383" s="2">
        <v>45269</v>
      </c>
      <c r="H383">
        <v>8</v>
      </c>
      <c r="I383">
        <v>41876</v>
      </c>
      <c r="J383" s="1" t="s">
        <v>39</v>
      </c>
    </row>
    <row r="384" spans="1:10" x14ac:dyDescent="0.25">
      <c r="A384">
        <v>383</v>
      </c>
      <c r="B384" s="1" t="s">
        <v>20</v>
      </c>
      <c r="C384">
        <v>29</v>
      </c>
      <c r="D384" s="1" t="s">
        <v>37</v>
      </c>
      <c r="E384" s="1" t="s">
        <v>22</v>
      </c>
      <c r="F384" s="1" t="s">
        <v>16</v>
      </c>
      <c r="G384" s="2">
        <v>45021</v>
      </c>
      <c r="H384">
        <v>14</v>
      </c>
      <c r="I384">
        <v>43909</v>
      </c>
      <c r="J384" s="1" t="s">
        <v>24</v>
      </c>
    </row>
    <row r="385" spans="1:10" x14ac:dyDescent="0.25">
      <c r="A385">
        <v>384</v>
      </c>
      <c r="B385" s="1" t="s">
        <v>13</v>
      </c>
      <c r="C385">
        <v>8</v>
      </c>
      <c r="D385" s="1" t="s">
        <v>37</v>
      </c>
      <c r="E385" s="1" t="s">
        <v>15</v>
      </c>
      <c r="F385" s="1" t="s">
        <v>16</v>
      </c>
      <c r="G385" s="2">
        <v>45283</v>
      </c>
      <c r="H385">
        <v>2</v>
      </c>
      <c r="I385">
        <v>22323</v>
      </c>
      <c r="J385" s="1" t="s">
        <v>24</v>
      </c>
    </row>
    <row r="386" spans="1:10" x14ac:dyDescent="0.25">
      <c r="A386">
        <v>385</v>
      </c>
      <c r="B386" s="1" t="s">
        <v>13</v>
      </c>
      <c r="C386">
        <v>5</v>
      </c>
      <c r="D386" s="1" t="s">
        <v>30</v>
      </c>
      <c r="E386" s="1" t="s">
        <v>27</v>
      </c>
      <c r="F386" s="1" t="s">
        <v>16</v>
      </c>
      <c r="G386" s="2">
        <v>45184</v>
      </c>
      <c r="H386">
        <v>6</v>
      </c>
      <c r="I386">
        <v>18428</v>
      </c>
      <c r="J386" s="1" t="s">
        <v>24</v>
      </c>
    </row>
    <row r="387" spans="1:10" x14ac:dyDescent="0.25">
      <c r="A387">
        <v>386</v>
      </c>
      <c r="B387" s="1" t="s">
        <v>20</v>
      </c>
      <c r="C387">
        <v>29</v>
      </c>
      <c r="D387" s="1" t="s">
        <v>21</v>
      </c>
      <c r="E387" s="1" t="s">
        <v>27</v>
      </c>
      <c r="F387" s="1" t="s">
        <v>32</v>
      </c>
      <c r="G387" s="2">
        <v>45288</v>
      </c>
      <c r="H387">
        <v>9</v>
      </c>
      <c r="I387">
        <v>36578</v>
      </c>
      <c r="J387" s="1" t="s">
        <v>39</v>
      </c>
    </row>
    <row r="388" spans="1:10" x14ac:dyDescent="0.25">
      <c r="A388">
        <v>387</v>
      </c>
      <c r="B388" s="1" t="s">
        <v>13</v>
      </c>
      <c r="C388">
        <v>47</v>
      </c>
      <c r="D388" s="1" t="s">
        <v>34</v>
      </c>
      <c r="E388" s="1" t="s">
        <v>31</v>
      </c>
      <c r="F388" s="1" t="s">
        <v>16</v>
      </c>
      <c r="G388" s="2">
        <v>45115</v>
      </c>
      <c r="H388">
        <v>8</v>
      </c>
      <c r="I388">
        <v>22950</v>
      </c>
      <c r="J388" s="1" t="s">
        <v>24</v>
      </c>
    </row>
    <row r="389" spans="1:10" x14ac:dyDescent="0.25">
      <c r="A389">
        <v>388</v>
      </c>
      <c r="B389" s="1" t="s">
        <v>13</v>
      </c>
      <c r="C389">
        <v>68</v>
      </c>
      <c r="D389" s="1" t="s">
        <v>45</v>
      </c>
      <c r="E389" s="1" t="s">
        <v>31</v>
      </c>
      <c r="F389" s="1" t="s">
        <v>16</v>
      </c>
      <c r="G389" s="2">
        <v>45089</v>
      </c>
      <c r="H389">
        <v>14</v>
      </c>
      <c r="I389">
        <v>45041</v>
      </c>
      <c r="J389" s="1" t="s">
        <v>24</v>
      </c>
    </row>
    <row r="390" spans="1:10" x14ac:dyDescent="0.25">
      <c r="A390">
        <v>389</v>
      </c>
      <c r="B390" s="1" t="s">
        <v>13</v>
      </c>
      <c r="C390">
        <v>76</v>
      </c>
      <c r="D390" s="1" t="s">
        <v>37</v>
      </c>
      <c r="E390" s="1" t="s">
        <v>31</v>
      </c>
      <c r="F390" s="1" t="s">
        <v>32</v>
      </c>
      <c r="G390" s="2">
        <v>44974</v>
      </c>
      <c r="H390">
        <v>11</v>
      </c>
      <c r="I390">
        <v>43789</v>
      </c>
      <c r="J390" s="1" t="s">
        <v>24</v>
      </c>
    </row>
    <row r="391" spans="1:10" x14ac:dyDescent="0.25">
      <c r="A391">
        <v>390</v>
      </c>
      <c r="B391" s="1" t="s">
        <v>13</v>
      </c>
      <c r="C391">
        <v>45</v>
      </c>
      <c r="D391" s="1" t="s">
        <v>14</v>
      </c>
      <c r="E391" s="1" t="s">
        <v>15</v>
      </c>
      <c r="F391" s="1" t="s">
        <v>32</v>
      </c>
      <c r="G391" s="2">
        <v>45185</v>
      </c>
      <c r="H391">
        <v>8</v>
      </c>
      <c r="I391">
        <v>20293</v>
      </c>
      <c r="J391" s="1" t="s">
        <v>24</v>
      </c>
    </row>
    <row r="392" spans="1:10" x14ac:dyDescent="0.25">
      <c r="A392">
        <v>391</v>
      </c>
      <c r="B392" s="1" t="s">
        <v>13</v>
      </c>
      <c r="C392">
        <v>2</v>
      </c>
      <c r="D392" s="1" t="s">
        <v>14</v>
      </c>
      <c r="E392" s="1" t="s">
        <v>15</v>
      </c>
      <c r="F392" s="1" t="s">
        <v>23</v>
      </c>
      <c r="G392" s="2">
        <v>45066</v>
      </c>
      <c r="H392">
        <v>8</v>
      </c>
      <c r="I392">
        <v>8364</v>
      </c>
      <c r="J392" s="1" t="s">
        <v>24</v>
      </c>
    </row>
    <row r="393" spans="1:10" x14ac:dyDescent="0.25">
      <c r="A393">
        <v>392</v>
      </c>
      <c r="B393" s="1" t="s">
        <v>13</v>
      </c>
      <c r="C393">
        <v>27</v>
      </c>
      <c r="D393" s="1" t="s">
        <v>34</v>
      </c>
      <c r="E393" s="1" t="s">
        <v>22</v>
      </c>
      <c r="F393" s="1" t="s">
        <v>16</v>
      </c>
      <c r="G393" s="2">
        <v>44952</v>
      </c>
      <c r="H393">
        <v>13</v>
      </c>
      <c r="I393">
        <v>37349</v>
      </c>
      <c r="J393" s="1" t="s">
        <v>39</v>
      </c>
    </row>
    <row r="394" spans="1:10" x14ac:dyDescent="0.25">
      <c r="A394">
        <v>393</v>
      </c>
      <c r="B394" s="1" t="s">
        <v>20</v>
      </c>
      <c r="C394">
        <v>36</v>
      </c>
      <c r="D394" s="1" t="s">
        <v>14</v>
      </c>
      <c r="E394" s="1" t="s">
        <v>31</v>
      </c>
      <c r="F394" s="1" t="s">
        <v>16</v>
      </c>
      <c r="G394" s="2">
        <v>44993</v>
      </c>
      <c r="H394">
        <v>7</v>
      </c>
      <c r="I394">
        <v>2691</v>
      </c>
      <c r="J394" s="1" t="s">
        <v>24</v>
      </c>
    </row>
    <row r="395" spans="1:10" x14ac:dyDescent="0.25">
      <c r="A395">
        <v>394</v>
      </c>
      <c r="B395" s="1" t="s">
        <v>20</v>
      </c>
      <c r="C395">
        <v>36</v>
      </c>
      <c r="D395" s="1" t="s">
        <v>21</v>
      </c>
      <c r="E395" s="1" t="s">
        <v>27</v>
      </c>
      <c r="F395" s="1" t="s">
        <v>16</v>
      </c>
      <c r="G395" s="2">
        <v>45270</v>
      </c>
      <c r="H395">
        <v>8</v>
      </c>
      <c r="I395">
        <v>32062</v>
      </c>
      <c r="J395" s="1" t="s">
        <v>24</v>
      </c>
    </row>
    <row r="396" spans="1:10" x14ac:dyDescent="0.25">
      <c r="A396">
        <v>395</v>
      </c>
      <c r="B396" s="1" t="s">
        <v>13</v>
      </c>
      <c r="C396">
        <v>26</v>
      </c>
      <c r="D396" s="1" t="s">
        <v>14</v>
      </c>
      <c r="E396" s="1" t="s">
        <v>35</v>
      </c>
      <c r="F396" s="1" t="s">
        <v>23</v>
      </c>
      <c r="G396" s="2">
        <v>45029</v>
      </c>
      <c r="H396">
        <v>13</v>
      </c>
      <c r="I396">
        <v>2931</v>
      </c>
      <c r="J396" s="1" t="s">
        <v>39</v>
      </c>
    </row>
    <row r="397" spans="1:10" x14ac:dyDescent="0.25">
      <c r="A397">
        <v>396</v>
      </c>
      <c r="B397" s="1" t="s">
        <v>20</v>
      </c>
      <c r="C397">
        <v>43</v>
      </c>
      <c r="D397" s="1" t="s">
        <v>45</v>
      </c>
      <c r="E397" s="1" t="s">
        <v>22</v>
      </c>
      <c r="F397" s="1" t="s">
        <v>16</v>
      </c>
      <c r="G397" s="2">
        <v>45210</v>
      </c>
      <c r="H397">
        <v>6</v>
      </c>
      <c r="I397">
        <v>47896</v>
      </c>
      <c r="J397" s="1" t="s">
        <v>17</v>
      </c>
    </row>
    <row r="398" spans="1:10" x14ac:dyDescent="0.25">
      <c r="A398">
        <v>397</v>
      </c>
      <c r="B398" s="1" t="s">
        <v>20</v>
      </c>
      <c r="C398">
        <v>27</v>
      </c>
      <c r="D398" s="1" t="s">
        <v>45</v>
      </c>
      <c r="E398" s="1" t="s">
        <v>15</v>
      </c>
      <c r="F398" s="1" t="s">
        <v>23</v>
      </c>
      <c r="G398" s="2">
        <v>45201</v>
      </c>
      <c r="H398">
        <v>2</v>
      </c>
      <c r="I398">
        <v>33730</v>
      </c>
      <c r="J398" s="1" t="s">
        <v>24</v>
      </c>
    </row>
    <row r="399" spans="1:10" x14ac:dyDescent="0.25">
      <c r="A399">
        <v>398</v>
      </c>
      <c r="B399" s="1" t="s">
        <v>20</v>
      </c>
      <c r="C399">
        <v>69</v>
      </c>
      <c r="D399" s="1" t="s">
        <v>37</v>
      </c>
      <c r="E399" s="1" t="s">
        <v>22</v>
      </c>
      <c r="F399" s="1" t="s">
        <v>28</v>
      </c>
      <c r="G399" s="2">
        <v>45064</v>
      </c>
      <c r="H399">
        <v>2</v>
      </c>
      <c r="I399">
        <v>16226</v>
      </c>
      <c r="J399" s="1" t="s">
        <v>24</v>
      </c>
    </row>
    <row r="400" spans="1:10" x14ac:dyDescent="0.25">
      <c r="A400">
        <v>399</v>
      </c>
      <c r="B400" s="1" t="s">
        <v>20</v>
      </c>
      <c r="C400">
        <v>20</v>
      </c>
      <c r="D400" s="1" t="s">
        <v>30</v>
      </c>
      <c r="E400" s="1" t="s">
        <v>22</v>
      </c>
      <c r="F400" s="1" t="s">
        <v>23</v>
      </c>
      <c r="G400" s="2">
        <v>44990</v>
      </c>
      <c r="H400">
        <v>8</v>
      </c>
      <c r="I400">
        <v>15861</v>
      </c>
      <c r="J400" s="1" t="s">
        <v>39</v>
      </c>
    </row>
    <row r="401" spans="1:10" x14ac:dyDescent="0.25">
      <c r="A401">
        <v>400</v>
      </c>
      <c r="B401" s="1" t="s">
        <v>13</v>
      </c>
      <c r="C401">
        <v>11</v>
      </c>
      <c r="D401" s="1" t="s">
        <v>21</v>
      </c>
      <c r="E401" s="1" t="s">
        <v>22</v>
      </c>
      <c r="F401" s="1" t="s">
        <v>28</v>
      </c>
      <c r="G401" s="2">
        <v>44987</v>
      </c>
      <c r="H401">
        <v>11</v>
      </c>
      <c r="I401">
        <v>33301</v>
      </c>
      <c r="J401" s="1" t="s">
        <v>17</v>
      </c>
    </row>
    <row r="402" spans="1:10" x14ac:dyDescent="0.25">
      <c r="A402">
        <v>401</v>
      </c>
      <c r="B402" s="1" t="s">
        <v>20</v>
      </c>
      <c r="C402">
        <v>74</v>
      </c>
      <c r="D402" s="1" t="s">
        <v>37</v>
      </c>
      <c r="E402" s="1" t="s">
        <v>22</v>
      </c>
      <c r="F402" s="1" t="s">
        <v>16</v>
      </c>
      <c r="G402" s="2">
        <v>45246</v>
      </c>
      <c r="H402">
        <v>1</v>
      </c>
      <c r="I402">
        <v>24766</v>
      </c>
      <c r="J402" s="1" t="s">
        <v>39</v>
      </c>
    </row>
    <row r="403" spans="1:10" x14ac:dyDescent="0.25">
      <c r="A403">
        <v>402</v>
      </c>
      <c r="B403" s="1" t="s">
        <v>20</v>
      </c>
      <c r="C403">
        <v>38</v>
      </c>
      <c r="D403" s="1" t="s">
        <v>21</v>
      </c>
      <c r="E403" s="1" t="s">
        <v>35</v>
      </c>
      <c r="F403" s="1" t="s">
        <v>28</v>
      </c>
      <c r="G403" s="2">
        <v>45177</v>
      </c>
      <c r="H403">
        <v>6</v>
      </c>
      <c r="I403">
        <v>38174</v>
      </c>
      <c r="J403" s="1" t="s">
        <v>24</v>
      </c>
    </row>
    <row r="404" spans="1:10" x14ac:dyDescent="0.25">
      <c r="A404">
        <v>403</v>
      </c>
      <c r="B404" s="1" t="s">
        <v>13</v>
      </c>
      <c r="C404">
        <v>6</v>
      </c>
      <c r="D404" s="1" t="s">
        <v>30</v>
      </c>
      <c r="E404" s="1" t="s">
        <v>31</v>
      </c>
      <c r="F404" s="1" t="s">
        <v>23</v>
      </c>
      <c r="G404" s="2">
        <v>45092</v>
      </c>
      <c r="H404">
        <v>13</v>
      </c>
      <c r="I404">
        <v>43107</v>
      </c>
      <c r="J404" s="1" t="s">
        <v>24</v>
      </c>
    </row>
    <row r="405" spans="1:10" x14ac:dyDescent="0.25">
      <c r="A405">
        <v>404</v>
      </c>
      <c r="B405" s="1" t="s">
        <v>13</v>
      </c>
      <c r="C405">
        <v>72</v>
      </c>
      <c r="D405" s="1" t="s">
        <v>14</v>
      </c>
      <c r="E405" s="1" t="s">
        <v>27</v>
      </c>
      <c r="F405" s="1" t="s">
        <v>32</v>
      </c>
      <c r="G405" s="2">
        <v>44962</v>
      </c>
      <c r="H405">
        <v>6</v>
      </c>
      <c r="I405">
        <v>19695</v>
      </c>
      <c r="J405" s="1" t="s">
        <v>39</v>
      </c>
    </row>
    <row r="406" spans="1:10" x14ac:dyDescent="0.25">
      <c r="A406">
        <v>405</v>
      </c>
      <c r="B406" s="1" t="s">
        <v>20</v>
      </c>
      <c r="C406">
        <v>23</v>
      </c>
      <c r="D406" s="1" t="s">
        <v>14</v>
      </c>
      <c r="E406" s="1" t="s">
        <v>22</v>
      </c>
      <c r="F406" s="1" t="s">
        <v>28</v>
      </c>
      <c r="G406" s="2">
        <v>45035</v>
      </c>
      <c r="H406">
        <v>11</v>
      </c>
      <c r="I406">
        <v>43347</v>
      </c>
      <c r="J406" s="1" t="s">
        <v>24</v>
      </c>
    </row>
    <row r="407" spans="1:10" x14ac:dyDescent="0.25">
      <c r="A407">
        <v>406</v>
      </c>
      <c r="B407" s="1" t="s">
        <v>20</v>
      </c>
      <c r="C407">
        <v>47</v>
      </c>
      <c r="D407" s="1" t="s">
        <v>30</v>
      </c>
      <c r="E407" s="1" t="s">
        <v>22</v>
      </c>
      <c r="F407" s="1" t="s">
        <v>28</v>
      </c>
      <c r="G407" s="2">
        <v>44976</v>
      </c>
      <c r="H407">
        <v>4</v>
      </c>
      <c r="I407">
        <v>5121</v>
      </c>
      <c r="J407" s="1" t="s">
        <v>24</v>
      </c>
    </row>
    <row r="408" spans="1:10" x14ac:dyDescent="0.25">
      <c r="A408">
        <v>407</v>
      </c>
      <c r="B408" s="1" t="s">
        <v>20</v>
      </c>
      <c r="C408">
        <v>46</v>
      </c>
      <c r="D408" s="1" t="s">
        <v>37</v>
      </c>
      <c r="E408" s="1" t="s">
        <v>22</v>
      </c>
      <c r="F408" s="1" t="s">
        <v>16</v>
      </c>
      <c r="G408" s="2">
        <v>44992</v>
      </c>
      <c r="H408">
        <v>12</v>
      </c>
      <c r="I408">
        <v>20257</v>
      </c>
      <c r="J408" s="1" t="s">
        <v>39</v>
      </c>
    </row>
    <row r="409" spans="1:10" x14ac:dyDescent="0.25">
      <c r="A409">
        <v>408</v>
      </c>
      <c r="B409" s="1" t="s">
        <v>20</v>
      </c>
      <c r="C409">
        <v>12</v>
      </c>
      <c r="D409" s="1" t="s">
        <v>30</v>
      </c>
      <c r="E409" s="1" t="s">
        <v>31</v>
      </c>
      <c r="F409" s="1" t="s">
        <v>23</v>
      </c>
      <c r="G409" s="2">
        <v>45029</v>
      </c>
      <c r="H409">
        <v>11</v>
      </c>
      <c r="I409">
        <v>30164</v>
      </c>
      <c r="J409" s="1" t="s">
        <v>24</v>
      </c>
    </row>
    <row r="410" spans="1:10" x14ac:dyDescent="0.25">
      <c r="A410">
        <v>409</v>
      </c>
      <c r="B410" s="1" t="s">
        <v>20</v>
      </c>
      <c r="C410">
        <v>13</v>
      </c>
      <c r="D410" s="1" t="s">
        <v>34</v>
      </c>
      <c r="E410" s="1" t="s">
        <v>15</v>
      </c>
      <c r="F410" s="1" t="s">
        <v>28</v>
      </c>
      <c r="G410" s="2">
        <v>45185</v>
      </c>
      <c r="H410">
        <v>13</v>
      </c>
      <c r="I410">
        <v>27491</v>
      </c>
      <c r="J410" s="1" t="s">
        <v>24</v>
      </c>
    </row>
    <row r="411" spans="1:10" x14ac:dyDescent="0.25">
      <c r="A411">
        <v>410</v>
      </c>
      <c r="B411" s="1" t="s">
        <v>20</v>
      </c>
      <c r="C411">
        <v>62</v>
      </c>
      <c r="D411" s="1" t="s">
        <v>45</v>
      </c>
      <c r="E411" s="1" t="s">
        <v>15</v>
      </c>
      <c r="F411" s="1" t="s">
        <v>28</v>
      </c>
      <c r="G411" s="2">
        <v>45229</v>
      </c>
      <c r="H411">
        <v>11</v>
      </c>
      <c r="I411">
        <v>25165</v>
      </c>
      <c r="J411" s="1" t="s">
        <v>24</v>
      </c>
    </row>
    <row r="412" spans="1:10" x14ac:dyDescent="0.25">
      <c r="A412">
        <v>411</v>
      </c>
      <c r="B412" s="1" t="s">
        <v>13</v>
      </c>
      <c r="C412">
        <v>82</v>
      </c>
      <c r="D412" s="1" t="s">
        <v>37</v>
      </c>
      <c r="E412" s="1" t="s">
        <v>35</v>
      </c>
      <c r="F412" s="1" t="s">
        <v>28</v>
      </c>
      <c r="G412" s="2">
        <v>45187</v>
      </c>
      <c r="H412">
        <v>13</v>
      </c>
      <c r="I412">
        <v>5748</v>
      </c>
      <c r="J412" s="1" t="s">
        <v>24</v>
      </c>
    </row>
    <row r="413" spans="1:10" x14ac:dyDescent="0.25">
      <c r="A413">
        <v>412</v>
      </c>
      <c r="B413" s="1" t="s">
        <v>20</v>
      </c>
      <c r="C413">
        <v>89</v>
      </c>
      <c r="D413" s="1" t="s">
        <v>21</v>
      </c>
      <c r="E413" s="1" t="s">
        <v>15</v>
      </c>
      <c r="F413" s="1" t="s">
        <v>28</v>
      </c>
      <c r="G413" s="2">
        <v>45098</v>
      </c>
      <c r="H413">
        <v>10</v>
      </c>
      <c r="I413">
        <v>35045</v>
      </c>
      <c r="J413" s="1" t="s">
        <v>24</v>
      </c>
    </row>
    <row r="414" spans="1:10" x14ac:dyDescent="0.25">
      <c r="A414">
        <v>413</v>
      </c>
      <c r="B414" s="1" t="s">
        <v>20</v>
      </c>
      <c r="C414">
        <v>60</v>
      </c>
      <c r="D414" s="1" t="s">
        <v>34</v>
      </c>
      <c r="E414" s="1" t="s">
        <v>22</v>
      </c>
      <c r="F414" s="1" t="s">
        <v>32</v>
      </c>
      <c r="G414" s="2">
        <v>45154</v>
      </c>
      <c r="H414">
        <v>3</v>
      </c>
      <c r="I414">
        <v>28553</v>
      </c>
      <c r="J414" s="1" t="s">
        <v>39</v>
      </c>
    </row>
    <row r="415" spans="1:10" x14ac:dyDescent="0.25">
      <c r="A415">
        <v>414</v>
      </c>
      <c r="B415" s="1" t="s">
        <v>13</v>
      </c>
      <c r="C415">
        <v>43</v>
      </c>
      <c r="D415" s="1" t="s">
        <v>37</v>
      </c>
      <c r="E415" s="1" t="s">
        <v>22</v>
      </c>
      <c r="F415" s="1" t="s">
        <v>23</v>
      </c>
      <c r="G415" s="2">
        <v>44990</v>
      </c>
      <c r="H415">
        <v>13</v>
      </c>
      <c r="I415">
        <v>46331</v>
      </c>
      <c r="J415" s="1" t="s">
        <v>24</v>
      </c>
    </row>
    <row r="416" spans="1:10" x14ac:dyDescent="0.25">
      <c r="A416">
        <v>415</v>
      </c>
      <c r="B416" s="1" t="s">
        <v>13</v>
      </c>
      <c r="C416">
        <v>76</v>
      </c>
      <c r="D416" s="1" t="s">
        <v>30</v>
      </c>
      <c r="E416" s="1" t="s">
        <v>22</v>
      </c>
      <c r="F416" s="1" t="s">
        <v>16</v>
      </c>
      <c r="G416" s="2">
        <v>45171</v>
      </c>
      <c r="H416">
        <v>11</v>
      </c>
      <c r="I416">
        <v>32497</v>
      </c>
      <c r="J416" s="1" t="s">
        <v>24</v>
      </c>
    </row>
    <row r="417" spans="1:10" x14ac:dyDescent="0.25">
      <c r="A417">
        <v>416</v>
      </c>
      <c r="B417" s="1" t="s">
        <v>13</v>
      </c>
      <c r="C417">
        <v>68</v>
      </c>
      <c r="D417" s="1" t="s">
        <v>30</v>
      </c>
      <c r="E417" s="1" t="s">
        <v>35</v>
      </c>
      <c r="F417" s="1" t="s">
        <v>16</v>
      </c>
      <c r="G417" s="2">
        <v>45175</v>
      </c>
      <c r="H417">
        <v>3</v>
      </c>
      <c r="I417">
        <v>33308</v>
      </c>
      <c r="J417" s="1" t="s">
        <v>17</v>
      </c>
    </row>
    <row r="418" spans="1:10" x14ac:dyDescent="0.25">
      <c r="A418">
        <v>417</v>
      </c>
      <c r="B418" s="1" t="s">
        <v>13</v>
      </c>
      <c r="C418">
        <v>5</v>
      </c>
      <c r="D418" s="1" t="s">
        <v>30</v>
      </c>
      <c r="E418" s="1" t="s">
        <v>22</v>
      </c>
      <c r="F418" s="1" t="s">
        <v>32</v>
      </c>
      <c r="G418" s="2">
        <v>45066</v>
      </c>
      <c r="H418">
        <v>13</v>
      </c>
      <c r="I418">
        <v>41560</v>
      </c>
      <c r="J418" s="1" t="s">
        <v>24</v>
      </c>
    </row>
    <row r="419" spans="1:10" x14ac:dyDescent="0.25">
      <c r="A419">
        <v>418</v>
      </c>
      <c r="B419" s="1" t="s">
        <v>20</v>
      </c>
      <c r="C419">
        <v>37</v>
      </c>
      <c r="D419" s="1" t="s">
        <v>30</v>
      </c>
      <c r="E419" s="1" t="s">
        <v>15</v>
      </c>
      <c r="F419" s="1" t="s">
        <v>23</v>
      </c>
      <c r="G419" s="2">
        <v>44984</v>
      </c>
      <c r="H419">
        <v>13</v>
      </c>
      <c r="I419">
        <v>48686</v>
      </c>
      <c r="J419" s="1" t="s">
        <v>24</v>
      </c>
    </row>
    <row r="420" spans="1:10" x14ac:dyDescent="0.25">
      <c r="A420">
        <v>419</v>
      </c>
      <c r="B420" s="1" t="s">
        <v>20</v>
      </c>
      <c r="C420">
        <v>72</v>
      </c>
      <c r="D420" s="1" t="s">
        <v>21</v>
      </c>
      <c r="E420" s="1" t="s">
        <v>31</v>
      </c>
      <c r="F420" s="1" t="s">
        <v>28</v>
      </c>
      <c r="G420" s="2">
        <v>45286</v>
      </c>
      <c r="H420">
        <v>1</v>
      </c>
      <c r="I420">
        <v>12374</v>
      </c>
      <c r="J420" s="1" t="s">
        <v>17</v>
      </c>
    </row>
    <row r="421" spans="1:10" x14ac:dyDescent="0.25">
      <c r="A421">
        <v>420</v>
      </c>
      <c r="B421" s="1" t="s">
        <v>20</v>
      </c>
      <c r="C421">
        <v>31</v>
      </c>
      <c r="D421" s="1" t="s">
        <v>34</v>
      </c>
      <c r="E421" s="1" t="s">
        <v>31</v>
      </c>
      <c r="F421" s="1" t="s">
        <v>32</v>
      </c>
      <c r="G421" s="2">
        <v>44943</v>
      </c>
      <c r="H421">
        <v>3</v>
      </c>
      <c r="I421">
        <v>6675</v>
      </c>
      <c r="J421" s="1" t="s">
        <v>39</v>
      </c>
    </row>
    <row r="422" spans="1:10" x14ac:dyDescent="0.25">
      <c r="A422">
        <v>421</v>
      </c>
      <c r="B422" s="1" t="s">
        <v>20</v>
      </c>
      <c r="C422">
        <v>9</v>
      </c>
      <c r="D422" s="1" t="s">
        <v>14</v>
      </c>
      <c r="E422" s="1" t="s">
        <v>27</v>
      </c>
      <c r="F422" s="1" t="s">
        <v>23</v>
      </c>
      <c r="G422" s="2">
        <v>45074</v>
      </c>
      <c r="H422">
        <v>4</v>
      </c>
      <c r="I422">
        <v>3170</v>
      </c>
      <c r="J422" s="1" t="s">
        <v>24</v>
      </c>
    </row>
    <row r="423" spans="1:10" x14ac:dyDescent="0.25">
      <c r="A423">
        <v>422</v>
      </c>
      <c r="B423" s="1" t="s">
        <v>20</v>
      </c>
      <c r="C423">
        <v>51</v>
      </c>
      <c r="D423" s="1" t="s">
        <v>45</v>
      </c>
      <c r="E423" s="1" t="s">
        <v>15</v>
      </c>
      <c r="F423" s="1" t="s">
        <v>28</v>
      </c>
      <c r="G423" s="2">
        <v>44961</v>
      </c>
      <c r="H423">
        <v>11</v>
      </c>
      <c r="I423">
        <v>43449</v>
      </c>
      <c r="J423" s="1" t="s">
        <v>39</v>
      </c>
    </row>
    <row r="424" spans="1:10" x14ac:dyDescent="0.25">
      <c r="A424">
        <v>423</v>
      </c>
      <c r="B424" s="1" t="s">
        <v>20</v>
      </c>
      <c r="C424">
        <v>29</v>
      </c>
      <c r="D424" s="1" t="s">
        <v>21</v>
      </c>
      <c r="E424" s="1" t="s">
        <v>22</v>
      </c>
      <c r="F424" s="1" t="s">
        <v>32</v>
      </c>
      <c r="G424" s="2">
        <v>45086</v>
      </c>
      <c r="H424">
        <v>11</v>
      </c>
      <c r="I424">
        <v>45485</v>
      </c>
      <c r="J424" s="1" t="s">
        <v>24</v>
      </c>
    </row>
    <row r="425" spans="1:10" x14ac:dyDescent="0.25">
      <c r="A425">
        <v>424</v>
      </c>
      <c r="B425" s="1" t="s">
        <v>13</v>
      </c>
      <c r="C425">
        <v>78</v>
      </c>
      <c r="D425" s="1" t="s">
        <v>21</v>
      </c>
      <c r="E425" s="1" t="s">
        <v>31</v>
      </c>
      <c r="F425" s="1" t="s">
        <v>23</v>
      </c>
      <c r="G425" s="2">
        <v>45130</v>
      </c>
      <c r="H425">
        <v>5</v>
      </c>
      <c r="I425">
        <v>14450</v>
      </c>
      <c r="J425" s="1" t="s">
        <v>39</v>
      </c>
    </row>
    <row r="426" spans="1:10" x14ac:dyDescent="0.25">
      <c r="A426">
        <v>425</v>
      </c>
      <c r="B426" s="1" t="s">
        <v>20</v>
      </c>
      <c r="C426">
        <v>40</v>
      </c>
      <c r="D426" s="1" t="s">
        <v>14</v>
      </c>
      <c r="E426" s="1" t="s">
        <v>15</v>
      </c>
      <c r="F426" s="1" t="s">
        <v>16</v>
      </c>
      <c r="G426" s="2">
        <v>45033</v>
      </c>
      <c r="H426">
        <v>3</v>
      </c>
      <c r="I426">
        <v>12680</v>
      </c>
      <c r="J426" s="1" t="s">
        <v>24</v>
      </c>
    </row>
    <row r="427" spans="1:10" x14ac:dyDescent="0.25">
      <c r="A427">
        <v>426</v>
      </c>
      <c r="B427" s="1" t="s">
        <v>13</v>
      </c>
      <c r="C427">
        <v>41</v>
      </c>
      <c r="D427" s="1" t="s">
        <v>14</v>
      </c>
      <c r="E427" s="1" t="s">
        <v>31</v>
      </c>
      <c r="F427" s="1" t="s">
        <v>16</v>
      </c>
      <c r="G427" s="2">
        <v>45157</v>
      </c>
      <c r="H427">
        <v>6</v>
      </c>
      <c r="I427">
        <v>12068</v>
      </c>
      <c r="J427" s="1" t="s">
        <v>39</v>
      </c>
    </row>
    <row r="428" spans="1:10" x14ac:dyDescent="0.25">
      <c r="A428">
        <v>427</v>
      </c>
      <c r="B428" s="1" t="s">
        <v>13</v>
      </c>
      <c r="C428">
        <v>86</v>
      </c>
      <c r="D428" s="1" t="s">
        <v>45</v>
      </c>
      <c r="E428" s="1" t="s">
        <v>22</v>
      </c>
      <c r="F428" s="1" t="s">
        <v>23</v>
      </c>
      <c r="G428" s="2">
        <v>45275</v>
      </c>
      <c r="H428">
        <v>11</v>
      </c>
      <c r="I428">
        <v>37230</v>
      </c>
      <c r="J428" s="1" t="s">
        <v>24</v>
      </c>
    </row>
    <row r="429" spans="1:10" x14ac:dyDescent="0.25">
      <c r="A429">
        <v>428</v>
      </c>
      <c r="B429" s="1" t="s">
        <v>20</v>
      </c>
      <c r="C429">
        <v>11</v>
      </c>
      <c r="D429" s="1" t="s">
        <v>45</v>
      </c>
      <c r="E429" s="1" t="s">
        <v>31</v>
      </c>
      <c r="F429" s="1" t="s">
        <v>16</v>
      </c>
      <c r="G429" s="2">
        <v>45078</v>
      </c>
      <c r="H429">
        <v>14</v>
      </c>
      <c r="I429">
        <v>48418</v>
      </c>
      <c r="J429" s="1" t="s">
        <v>24</v>
      </c>
    </row>
    <row r="430" spans="1:10" x14ac:dyDescent="0.25">
      <c r="A430">
        <v>429</v>
      </c>
      <c r="B430" s="1" t="s">
        <v>13</v>
      </c>
      <c r="C430">
        <v>23</v>
      </c>
      <c r="D430" s="1" t="s">
        <v>14</v>
      </c>
      <c r="E430" s="1" t="s">
        <v>27</v>
      </c>
      <c r="F430" s="1" t="s">
        <v>23</v>
      </c>
      <c r="G430" s="2">
        <v>45076</v>
      </c>
      <c r="H430">
        <v>12</v>
      </c>
      <c r="I430">
        <v>28206</v>
      </c>
      <c r="J430" s="1" t="s">
        <v>24</v>
      </c>
    </row>
    <row r="431" spans="1:10" x14ac:dyDescent="0.25">
      <c r="A431">
        <v>430</v>
      </c>
      <c r="B431" s="1" t="s">
        <v>20</v>
      </c>
      <c r="C431">
        <v>1</v>
      </c>
      <c r="D431" s="1" t="s">
        <v>30</v>
      </c>
      <c r="E431" s="1" t="s">
        <v>27</v>
      </c>
      <c r="F431" s="1" t="s">
        <v>28</v>
      </c>
      <c r="G431" s="2">
        <v>45195</v>
      </c>
      <c r="H431">
        <v>5</v>
      </c>
      <c r="I431">
        <v>2287</v>
      </c>
      <c r="J431" s="1" t="s">
        <v>24</v>
      </c>
    </row>
    <row r="432" spans="1:10" x14ac:dyDescent="0.25">
      <c r="A432">
        <v>431</v>
      </c>
      <c r="B432" s="1" t="s">
        <v>13</v>
      </c>
      <c r="C432">
        <v>46</v>
      </c>
      <c r="D432" s="1" t="s">
        <v>21</v>
      </c>
      <c r="E432" s="1" t="s">
        <v>31</v>
      </c>
      <c r="F432" s="1" t="s">
        <v>23</v>
      </c>
      <c r="G432" s="2">
        <v>45154</v>
      </c>
      <c r="H432">
        <v>3</v>
      </c>
      <c r="I432">
        <v>24337</v>
      </c>
      <c r="J432" s="1" t="s">
        <v>39</v>
      </c>
    </row>
    <row r="433" spans="1:10" x14ac:dyDescent="0.25">
      <c r="A433">
        <v>432</v>
      </c>
      <c r="B433" s="1" t="s">
        <v>20</v>
      </c>
      <c r="C433">
        <v>21</v>
      </c>
      <c r="D433" s="1" t="s">
        <v>37</v>
      </c>
      <c r="E433" s="1" t="s">
        <v>15</v>
      </c>
      <c r="F433" s="1" t="s">
        <v>28</v>
      </c>
      <c r="G433" s="2">
        <v>44932</v>
      </c>
      <c r="H433">
        <v>6</v>
      </c>
      <c r="I433">
        <v>22666</v>
      </c>
      <c r="J433" s="1" t="s">
        <v>24</v>
      </c>
    </row>
    <row r="434" spans="1:10" x14ac:dyDescent="0.25">
      <c r="A434">
        <v>433</v>
      </c>
      <c r="B434" s="1" t="s">
        <v>13</v>
      </c>
      <c r="C434">
        <v>36</v>
      </c>
      <c r="D434" s="1" t="s">
        <v>45</v>
      </c>
      <c r="E434" s="1" t="s">
        <v>15</v>
      </c>
      <c r="F434" s="1" t="s">
        <v>32</v>
      </c>
      <c r="G434" s="2">
        <v>45012</v>
      </c>
      <c r="H434">
        <v>6</v>
      </c>
      <c r="I434">
        <v>3161</v>
      </c>
      <c r="J434" s="1" t="s">
        <v>24</v>
      </c>
    </row>
    <row r="435" spans="1:10" x14ac:dyDescent="0.25">
      <c r="A435">
        <v>434</v>
      </c>
      <c r="B435" s="1" t="s">
        <v>20</v>
      </c>
      <c r="C435">
        <v>54</v>
      </c>
      <c r="D435" s="1" t="s">
        <v>45</v>
      </c>
      <c r="E435" s="1" t="s">
        <v>15</v>
      </c>
      <c r="F435" s="1" t="s">
        <v>23</v>
      </c>
      <c r="G435" s="2">
        <v>44984</v>
      </c>
      <c r="H435">
        <v>14</v>
      </c>
      <c r="I435">
        <v>37131</v>
      </c>
      <c r="J435" s="1" t="s">
        <v>24</v>
      </c>
    </row>
    <row r="436" spans="1:10" x14ac:dyDescent="0.25">
      <c r="A436">
        <v>435</v>
      </c>
      <c r="B436" s="1" t="s">
        <v>20</v>
      </c>
      <c r="C436">
        <v>87</v>
      </c>
      <c r="D436" s="1" t="s">
        <v>14</v>
      </c>
      <c r="E436" s="1" t="s">
        <v>31</v>
      </c>
      <c r="F436" s="1" t="s">
        <v>32</v>
      </c>
      <c r="G436" s="2">
        <v>44955</v>
      </c>
      <c r="H436">
        <v>8</v>
      </c>
      <c r="I436">
        <v>26535</v>
      </c>
      <c r="J436" s="1" t="s">
        <v>24</v>
      </c>
    </row>
    <row r="437" spans="1:10" x14ac:dyDescent="0.25">
      <c r="A437">
        <v>436</v>
      </c>
      <c r="B437" s="1" t="s">
        <v>20</v>
      </c>
      <c r="C437">
        <v>57</v>
      </c>
      <c r="D437" s="1" t="s">
        <v>34</v>
      </c>
      <c r="E437" s="1" t="s">
        <v>15</v>
      </c>
      <c r="F437" s="1" t="s">
        <v>16</v>
      </c>
      <c r="G437" s="2">
        <v>44978</v>
      </c>
      <c r="H437">
        <v>2</v>
      </c>
      <c r="I437">
        <v>34528</v>
      </c>
      <c r="J437" s="1" t="s">
        <v>39</v>
      </c>
    </row>
    <row r="438" spans="1:10" x14ac:dyDescent="0.25">
      <c r="A438">
        <v>437</v>
      </c>
      <c r="B438" s="1" t="s">
        <v>20</v>
      </c>
      <c r="C438">
        <v>1</v>
      </c>
      <c r="D438" s="1" t="s">
        <v>37</v>
      </c>
      <c r="E438" s="1" t="s">
        <v>22</v>
      </c>
      <c r="F438" s="1" t="s">
        <v>28</v>
      </c>
      <c r="G438" s="2">
        <v>45107</v>
      </c>
      <c r="H438">
        <v>1</v>
      </c>
      <c r="I438">
        <v>40751</v>
      </c>
      <c r="J438" s="1" t="s">
        <v>39</v>
      </c>
    </row>
    <row r="439" spans="1:10" x14ac:dyDescent="0.25">
      <c r="A439">
        <v>438</v>
      </c>
      <c r="B439" s="1" t="s">
        <v>20</v>
      </c>
      <c r="C439">
        <v>63</v>
      </c>
      <c r="D439" s="1" t="s">
        <v>37</v>
      </c>
      <c r="E439" s="1" t="s">
        <v>27</v>
      </c>
      <c r="F439" s="1" t="s">
        <v>23</v>
      </c>
      <c r="G439" s="2">
        <v>45142</v>
      </c>
      <c r="H439">
        <v>4</v>
      </c>
      <c r="I439">
        <v>18527</v>
      </c>
      <c r="J439" s="1" t="s">
        <v>24</v>
      </c>
    </row>
    <row r="440" spans="1:10" x14ac:dyDescent="0.25">
      <c r="A440">
        <v>439</v>
      </c>
      <c r="B440" s="1" t="s">
        <v>13</v>
      </c>
      <c r="C440">
        <v>54</v>
      </c>
      <c r="D440" s="1" t="s">
        <v>45</v>
      </c>
      <c r="E440" s="1" t="s">
        <v>22</v>
      </c>
      <c r="F440" s="1" t="s">
        <v>32</v>
      </c>
      <c r="G440" s="2">
        <v>44951</v>
      </c>
      <c r="H440">
        <v>7</v>
      </c>
      <c r="I440">
        <v>42975</v>
      </c>
      <c r="J440" s="1" t="s">
        <v>17</v>
      </c>
    </row>
    <row r="441" spans="1:10" x14ac:dyDescent="0.25">
      <c r="A441">
        <v>440</v>
      </c>
      <c r="B441" s="1" t="s">
        <v>13</v>
      </c>
      <c r="C441">
        <v>55</v>
      </c>
      <c r="D441" s="1" t="s">
        <v>30</v>
      </c>
      <c r="E441" s="1" t="s">
        <v>15</v>
      </c>
      <c r="F441" s="1" t="s">
        <v>28</v>
      </c>
      <c r="G441" s="2">
        <v>45257</v>
      </c>
      <c r="H441">
        <v>11</v>
      </c>
      <c r="I441">
        <v>25853</v>
      </c>
      <c r="J441" s="1" t="s">
        <v>39</v>
      </c>
    </row>
    <row r="442" spans="1:10" x14ac:dyDescent="0.25">
      <c r="A442">
        <v>441</v>
      </c>
      <c r="B442" s="1" t="s">
        <v>13</v>
      </c>
      <c r="C442">
        <v>40</v>
      </c>
      <c r="D442" s="1" t="s">
        <v>34</v>
      </c>
      <c r="E442" s="1" t="s">
        <v>22</v>
      </c>
      <c r="F442" s="1" t="s">
        <v>28</v>
      </c>
      <c r="G442" s="2">
        <v>45186</v>
      </c>
      <c r="H442">
        <v>10</v>
      </c>
      <c r="I442">
        <v>16758</v>
      </c>
      <c r="J442" s="1" t="s">
        <v>24</v>
      </c>
    </row>
    <row r="443" spans="1:10" x14ac:dyDescent="0.25">
      <c r="A443">
        <v>442</v>
      </c>
      <c r="B443" s="1" t="s">
        <v>20</v>
      </c>
      <c r="C443">
        <v>15</v>
      </c>
      <c r="D443" s="1" t="s">
        <v>37</v>
      </c>
      <c r="E443" s="1" t="s">
        <v>15</v>
      </c>
      <c r="F443" s="1" t="s">
        <v>16</v>
      </c>
      <c r="G443" s="2">
        <v>44933</v>
      </c>
      <c r="H443">
        <v>3</v>
      </c>
      <c r="I443">
        <v>2244</v>
      </c>
      <c r="J443" s="1" t="s">
        <v>24</v>
      </c>
    </row>
    <row r="444" spans="1:10" x14ac:dyDescent="0.25">
      <c r="A444">
        <v>443</v>
      </c>
      <c r="B444" s="1" t="s">
        <v>13</v>
      </c>
      <c r="C444">
        <v>21</v>
      </c>
      <c r="D444" s="1" t="s">
        <v>45</v>
      </c>
      <c r="E444" s="1" t="s">
        <v>31</v>
      </c>
      <c r="F444" s="1" t="s">
        <v>16</v>
      </c>
      <c r="G444" s="2">
        <v>45291</v>
      </c>
      <c r="H444">
        <v>3</v>
      </c>
      <c r="I444">
        <v>5178</v>
      </c>
      <c r="J444" s="1" t="s">
        <v>17</v>
      </c>
    </row>
    <row r="445" spans="1:10" x14ac:dyDescent="0.25">
      <c r="A445">
        <v>444</v>
      </c>
      <c r="B445" s="1" t="s">
        <v>20</v>
      </c>
      <c r="C445">
        <v>47</v>
      </c>
      <c r="D445" s="1" t="s">
        <v>37</v>
      </c>
      <c r="E445" s="1" t="s">
        <v>22</v>
      </c>
      <c r="F445" s="1" t="s">
        <v>28</v>
      </c>
      <c r="G445" s="2">
        <v>45183</v>
      </c>
      <c r="H445">
        <v>5</v>
      </c>
      <c r="I445">
        <v>33831</v>
      </c>
      <c r="J445" s="1" t="s">
        <v>24</v>
      </c>
    </row>
    <row r="446" spans="1:10" x14ac:dyDescent="0.25">
      <c r="A446">
        <v>445</v>
      </c>
      <c r="B446" s="1" t="s">
        <v>20</v>
      </c>
      <c r="C446">
        <v>73</v>
      </c>
      <c r="D446" s="1" t="s">
        <v>34</v>
      </c>
      <c r="E446" s="1" t="s">
        <v>31</v>
      </c>
      <c r="F446" s="1" t="s">
        <v>28</v>
      </c>
      <c r="G446" s="2">
        <v>45177</v>
      </c>
      <c r="H446">
        <v>5</v>
      </c>
      <c r="I446">
        <v>4176</v>
      </c>
      <c r="J446" s="1" t="s">
        <v>39</v>
      </c>
    </row>
    <row r="447" spans="1:10" x14ac:dyDescent="0.25">
      <c r="A447">
        <v>446</v>
      </c>
      <c r="B447" s="1" t="s">
        <v>13</v>
      </c>
      <c r="C447">
        <v>53</v>
      </c>
      <c r="D447" s="1" t="s">
        <v>34</v>
      </c>
      <c r="E447" s="1" t="s">
        <v>31</v>
      </c>
      <c r="F447" s="1" t="s">
        <v>23</v>
      </c>
      <c r="G447" s="2">
        <v>45080</v>
      </c>
      <c r="H447">
        <v>13</v>
      </c>
      <c r="I447">
        <v>39770</v>
      </c>
      <c r="J447" s="1" t="s">
        <v>24</v>
      </c>
    </row>
    <row r="448" spans="1:10" x14ac:dyDescent="0.25">
      <c r="A448">
        <v>447</v>
      </c>
      <c r="B448" s="1" t="s">
        <v>13</v>
      </c>
      <c r="C448">
        <v>9</v>
      </c>
      <c r="D448" s="1" t="s">
        <v>21</v>
      </c>
      <c r="E448" s="1" t="s">
        <v>35</v>
      </c>
      <c r="F448" s="1" t="s">
        <v>28</v>
      </c>
      <c r="G448" s="2">
        <v>45139</v>
      </c>
      <c r="H448">
        <v>10</v>
      </c>
      <c r="I448">
        <v>35654</v>
      </c>
      <c r="J448" s="1" t="s">
        <v>24</v>
      </c>
    </row>
    <row r="449" spans="1:10" x14ac:dyDescent="0.25">
      <c r="A449">
        <v>448</v>
      </c>
      <c r="B449" s="1" t="s">
        <v>20</v>
      </c>
      <c r="C449">
        <v>74</v>
      </c>
      <c r="D449" s="1" t="s">
        <v>14</v>
      </c>
      <c r="E449" s="1" t="s">
        <v>15</v>
      </c>
      <c r="F449" s="1" t="s">
        <v>23</v>
      </c>
      <c r="G449" s="2">
        <v>44978</v>
      </c>
      <c r="H449">
        <v>3</v>
      </c>
      <c r="I449">
        <v>28627</v>
      </c>
      <c r="J449" s="1" t="s">
        <v>24</v>
      </c>
    </row>
    <row r="450" spans="1:10" x14ac:dyDescent="0.25">
      <c r="A450">
        <v>449</v>
      </c>
      <c r="B450" s="1" t="s">
        <v>13</v>
      </c>
      <c r="C450">
        <v>52</v>
      </c>
      <c r="D450" s="1" t="s">
        <v>14</v>
      </c>
      <c r="E450" s="1" t="s">
        <v>27</v>
      </c>
      <c r="F450" s="1" t="s">
        <v>28</v>
      </c>
      <c r="G450" s="2">
        <v>45008</v>
      </c>
      <c r="H450">
        <v>9</v>
      </c>
      <c r="I450">
        <v>48489</v>
      </c>
      <c r="J450" s="1" t="s">
        <v>24</v>
      </c>
    </row>
    <row r="451" spans="1:10" x14ac:dyDescent="0.25">
      <c r="A451">
        <v>450</v>
      </c>
      <c r="B451" s="1" t="s">
        <v>20</v>
      </c>
      <c r="C451">
        <v>57</v>
      </c>
      <c r="D451" s="1" t="s">
        <v>45</v>
      </c>
      <c r="E451" s="1" t="s">
        <v>15</v>
      </c>
      <c r="F451" s="1" t="s">
        <v>16</v>
      </c>
      <c r="G451" s="2">
        <v>44985</v>
      </c>
      <c r="H451">
        <v>4</v>
      </c>
      <c r="I451">
        <v>46910</v>
      </c>
      <c r="J451" s="1" t="s">
        <v>17</v>
      </c>
    </row>
    <row r="452" spans="1:10" x14ac:dyDescent="0.25">
      <c r="A452">
        <v>451</v>
      </c>
      <c r="B452" s="1" t="s">
        <v>20</v>
      </c>
      <c r="C452">
        <v>26</v>
      </c>
      <c r="D452" s="1" t="s">
        <v>34</v>
      </c>
      <c r="E452" s="1" t="s">
        <v>27</v>
      </c>
      <c r="F452" s="1" t="s">
        <v>23</v>
      </c>
      <c r="G452" s="2">
        <v>44958</v>
      </c>
      <c r="H452">
        <v>13</v>
      </c>
      <c r="I452">
        <v>26881</v>
      </c>
      <c r="J452" s="1" t="s">
        <v>24</v>
      </c>
    </row>
    <row r="453" spans="1:10" x14ac:dyDescent="0.25">
      <c r="A453">
        <v>452</v>
      </c>
      <c r="B453" s="1" t="s">
        <v>20</v>
      </c>
      <c r="C453">
        <v>41</v>
      </c>
      <c r="D453" s="1" t="s">
        <v>21</v>
      </c>
      <c r="E453" s="1" t="s">
        <v>15</v>
      </c>
      <c r="F453" s="1" t="s">
        <v>32</v>
      </c>
      <c r="G453" s="2">
        <v>45074</v>
      </c>
      <c r="H453">
        <v>13</v>
      </c>
      <c r="I453">
        <v>37422</v>
      </c>
      <c r="J453" s="1" t="s">
        <v>24</v>
      </c>
    </row>
    <row r="454" spans="1:10" x14ac:dyDescent="0.25">
      <c r="A454">
        <v>453</v>
      </c>
      <c r="B454" s="1" t="s">
        <v>20</v>
      </c>
      <c r="C454">
        <v>35</v>
      </c>
      <c r="D454" s="1" t="s">
        <v>21</v>
      </c>
      <c r="E454" s="1" t="s">
        <v>31</v>
      </c>
      <c r="F454" s="1" t="s">
        <v>16</v>
      </c>
      <c r="G454" s="2">
        <v>44933</v>
      </c>
      <c r="H454">
        <v>3</v>
      </c>
      <c r="I454">
        <v>13984</v>
      </c>
      <c r="J454" s="1" t="s">
        <v>17</v>
      </c>
    </row>
    <row r="455" spans="1:10" x14ac:dyDescent="0.25">
      <c r="A455">
        <v>454</v>
      </c>
      <c r="B455" s="1" t="s">
        <v>20</v>
      </c>
      <c r="C455">
        <v>63</v>
      </c>
      <c r="D455" s="1" t="s">
        <v>37</v>
      </c>
      <c r="E455" s="1" t="s">
        <v>22</v>
      </c>
      <c r="F455" s="1" t="s">
        <v>23</v>
      </c>
      <c r="G455" s="2">
        <v>45099</v>
      </c>
      <c r="H455">
        <v>11</v>
      </c>
      <c r="I455">
        <v>25776</v>
      </c>
      <c r="J455" s="1" t="s">
        <v>24</v>
      </c>
    </row>
    <row r="456" spans="1:10" x14ac:dyDescent="0.25">
      <c r="A456">
        <v>455</v>
      </c>
      <c r="B456" s="1" t="s">
        <v>13</v>
      </c>
      <c r="C456">
        <v>25</v>
      </c>
      <c r="D456" s="1" t="s">
        <v>37</v>
      </c>
      <c r="E456" s="1" t="s">
        <v>22</v>
      </c>
      <c r="F456" s="1" t="s">
        <v>23</v>
      </c>
      <c r="G456" s="2">
        <v>45220</v>
      </c>
      <c r="H456">
        <v>2</v>
      </c>
      <c r="I456">
        <v>19755</v>
      </c>
      <c r="J456" s="1" t="s">
        <v>24</v>
      </c>
    </row>
    <row r="457" spans="1:10" x14ac:dyDescent="0.25">
      <c r="A457">
        <v>456</v>
      </c>
      <c r="B457" s="1" t="s">
        <v>13</v>
      </c>
      <c r="C457">
        <v>75</v>
      </c>
      <c r="D457" s="1" t="s">
        <v>21</v>
      </c>
      <c r="E457" s="1" t="s">
        <v>35</v>
      </c>
      <c r="F457" s="1" t="s">
        <v>32</v>
      </c>
      <c r="G457" s="2">
        <v>44971</v>
      </c>
      <c r="H457">
        <v>10</v>
      </c>
      <c r="I457">
        <v>9135</v>
      </c>
      <c r="J457" s="1" t="s">
        <v>39</v>
      </c>
    </row>
    <row r="458" spans="1:10" x14ac:dyDescent="0.25">
      <c r="A458">
        <v>457</v>
      </c>
      <c r="B458" s="1" t="s">
        <v>20</v>
      </c>
      <c r="C458">
        <v>38</v>
      </c>
      <c r="D458" s="1" t="s">
        <v>37</v>
      </c>
      <c r="E458" s="1" t="s">
        <v>27</v>
      </c>
      <c r="F458" s="1" t="s">
        <v>23</v>
      </c>
      <c r="G458" s="2">
        <v>44943</v>
      </c>
      <c r="H458">
        <v>13</v>
      </c>
      <c r="I458">
        <v>2320</v>
      </c>
      <c r="J458" s="1" t="s">
        <v>39</v>
      </c>
    </row>
    <row r="459" spans="1:10" x14ac:dyDescent="0.25">
      <c r="A459">
        <v>458</v>
      </c>
      <c r="B459" s="1" t="s">
        <v>20</v>
      </c>
      <c r="C459">
        <v>2</v>
      </c>
      <c r="D459" s="1" t="s">
        <v>34</v>
      </c>
      <c r="E459" s="1" t="s">
        <v>27</v>
      </c>
      <c r="F459" s="1" t="s">
        <v>28</v>
      </c>
      <c r="G459" s="2">
        <v>45191</v>
      </c>
      <c r="H459">
        <v>11</v>
      </c>
      <c r="I459">
        <v>39422</v>
      </c>
      <c r="J459" s="1" t="s">
        <v>24</v>
      </c>
    </row>
    <row r="460" spans="1:10" x14ac:dyDescent="0.25">
      <c r="A460">
        <v>459</v>
      </c>
      <c r="B460" s="1" t="s">
        <v>13</v>
      </c>
      <c r="C460">
        <v>7</v>
      </c>
      <c r="D460" s="1" t="s">
        <v>30</v>
      </c>
      <c r="E460" s="1" t="s">
        <v>27</v>
      </c>
      <c r="F460" s="1" t="s">
        <v>32</v>
      </c>
      <c r="G460" s="2">
        <v>45243</v>
      </c>
      <c r="H460">
        <v>9</v>
      </c>
      <c r="I460">
        <v>30635</v>
      </c>
      <c r="J460" s="1" t="s">
        <v>24</v>
      </c>
    </row>
    <row r="461" spans="1:10" x14ac:dyDescent="0.25">
      <c r="A461">
        <v>460</v>
      </c>
      <c r="B461" s="1" t="s">
        <v>13</v>
      </c>
      <c r="C461">
        <v>82</v>
      </c>
      <c r="D461" s="1" t="s">
        <v>34</v>
      </c>
      <c r="E461" s="1" t="s">
        <v>31</v>
      </c>
      <c r="F461" s="1" t="s">
        <v>16</v>
      </c>
      <c r="G461" s="2">
        <v>45018</v>
      </c>
      <c r="H461">
        <v>4</v>
      </c>
      <c r="I461">
        <v>23684</v>
      </c>
      <c r="J461" s="1" t="s">
        <v>24</v>
      </c>
    </row>
    <row r="462" spans="1:10" x14ac:dyDescent="0.25">
      <c r="A462">
        <v>461</v>
      </c>
      <c r="B462" s="1" t="s">
        <v>20</v>
      </c>
      <c r="C462">
        <v>34</v>
      </c>
      <c r="D462" s="1" t="s">
        <v>21</v>
      </c>
      <c r="E462" s="1" t="s">
        <v>27</v>
      </c>
      <c r="F462" s="1" t="s">
        <v>16</v>
      </c>
      <c r="G462" s="2">
        <v>45137</v>
      </c>
      <c r="H462">
        <v>3</v>
      </c>
      <c r="I462">
        <v>25238</v>
      </c>
      <c r="J462" s="1" t="s">
        <v>24</v>
      </c>
    </row>
    <row r="463" spans="1:10" x14ac:dyDescent="0.25">
      <c r="A463">
        <v>462</v>
      </c>
      <c r="B463" s="1" t="s">
        <v>13</v>
      </c>
      <c r="C463">
        <v>17</v>
      </c>
      <c r="D463" s="1" t="s">
        <v>21</v>
      </c>
      <c r="E463" s="1" t="s">
        <v>22</v>
      </c>
      <c r="F463" s="1" t="s">
        <v>28</v>
      </c>
      <c r="G463" s="2">
        <v>44961</v>
      </c>
      <c r="H463">
        <v>7</v>
      </c>
      <c r="I463">
        <v>23889</v>
      </c>
      <c r="J463" s="1" t="s">
        <v>24</v>
      </c>
    </row>
    <row r="464" spans="1:10" x14ac:dyDescent="0.25">
      <c r="A464">
        <v>463</v>
      </c>
      <c r="B464" s="1" t="s">
        <v>20</v>
      </c>
      <c r="C464">
        <v>43</v>
      </c>
      <c r="D464" s="1" t="s">
        <v>34</v>
      </c>
      <c r="E464" s="1" t="s">
        <v>31</v>
      </c>
      <c r="F464" s="1" t="s">
        <v>16</v>
      </c>
      <c r="G464" s="2">
        <v>45166</v>
      </c>
      <c r="H464">
        <v>8</v>
      </c>
      <c r="I464">
        <v>32313</v>
      </c>
      <c r="J464" s="1" t="s">
        <v>24</v>
      </c>
    </row>
    <row r="465" spans="1:10" x14ac:dyDescent="0.25">
      <c r="A465">
        <v>464</v>
      </c>
      <c r="B465" s="1" t="s">
        <v>13</v>
      </c>
      <c r="C465">
        <v>59</v>
      </c>
      <c r="D465" s="1" t="s">
        <v>37</v>
      </c>
      <c r="E465" s="1" t="s">
        <v>15</v>
      </c>
      <c r="F465" s="1" t="s">
        <v>23</v>
      </c>
      <c r="G465" s="2">
        <v>45276</v>
      </c>
      <c r="H465">
        <v>11</v>
      </c>
      <c r="I465">
        <v>34535</v>
      </c>
      <c r="J465" s="1" t="s">
        <v>24</v>
      </c>
    </row>
    <row r="466" spans="1:10" x14ac:dyDescent="0.25">
      <c r="A466">
        <v>465</v>
      </c>
      <c r="B466" s="1" t="s">
        <v>20</v>
      </c>
      <c r="C466">
        <v>51</v>
      </c>
      <c r="D466" s="1" t="s">
        <v>37</v>
      </c>
      <c r="E466" s="1" t="s">
        <v>27</v>
      </c>
      <c r="F466" s="1" t="s">
        <v>23</v>
      </c>
      <c r="G466" s="2">
        <v>45031</v>
      </c>
      <c r="H466">
        <v>14</v>
      </c>
      <c r="I466">
        <v>12770</v>
      </c>
      <c r="J466" s="1" t="s">
        <v>24</v>
      </c>
    </row>
    <row r="467" spans="1:10" x14ac:dyDescent="0.25">
      <c r="A467">
        <v>466</v>
      </c>
      <c r="B467" s="1" t="s">
        <v>13</v>
      </c>
      <c r="C467">
        <v>54</v>
      </c>
      <c r="D467" s="1" t="s">
        <v>14</v>
      </c>
      <c r="E467" s="1" t="s">
        <v>27</v>
      </c>
      <c r="F467" s="1" t="s">
        <v>28</v>
      </c>
      <c r="G467" s="2">
        <v>45125</v>
      </c>
      <c r="H467">
        <v>2</v>
      </c>
      <c r="I467">
        <v>41321</v>
      </c>
      <c r="J467" s="1" t="s">
        <v>24</v>
      </c>
    </row>
    <row r="468" spans="1:10" x14ac:dyDescent="0.25">
      <c r="A468">
        <v>467</v>
      </c>
      <c r="B468" s="1" t="s">
        <v>20</v>
      </c>
      <c r="C468">
        <v>24</v>
      </c>
      <c r="D468" s="1" t="s">
        <v>21</v>
      </c>
      <c r="E468" s="1" t="s">
        <v>15</v>
      </c>
      <c r="F468" s="1" t="s">
        <v>16</v>
      </c>
      <c r="G468" s="2">
        <v>45173</v>
      </c>
      <c r="H468">
        <v>7</v>
      </c>
      <c r="I468">
        <v>22426</v>
      </c>
      <c r="J468" s="1" t="s">
        <v>24</v>
      </c>
    </row>
    <row r="469" spans="1:10" x14ac:dyDescent="0.25">
      <c r="A469">
        <v>468</v>
      </c>
      <c r="B469" s="1" t="s">
        <v>13</v>
      </c>
      <c r="C469">
        <v>25</v>
      </c>
      <c r="D469" s="1" t="s">
        <v>45</v>
      </c>
      <c r="E469" s="1" t="s">
        <v>27</v>
      </c>
      <c r="F469" s="1" t="s">
        <v>16</v>
      </c>
      <c r="G469" s="2">
        <v>44938</v>
      </c>
      <c r="H469">
        <v>12</v>
      </c>
      <c r="I469">
        <v>46327</v>
      </c>
      <c r="J469" s="1" t="s">
        <v>39</v>
      </c>
    </row>
    <row r="470" spans="1:10" x14ac:dyDescent="0.25">
      <c r="A470">
        <v>469</v>
      </c>
      <c r="B470" s="1" t="s">
        <v>13</v>
      </c>
      <c r="C470">
        <v>71</v>
      </c>
      <c r="D470" s="1" t="s">
        <v>14</v>
      </c>
      <c r="E470" s="1" t="s">
        <v>15</v>
      </c>
      <c r="F470" s="1" t="s">
        <v>28</v>
      </c>
      <c r="G470" s="2">
        <v>44986</v>
      </c>
      <c r="H470">
        <v>5</v>
      </c>
      <c r="I470">
        <v>43777</v>
      </c>
      <c r="J470" s="1" t="s">
        <v>39</v>
      </c>
    </row>
    <row r="471" spans="1:10" x14ac:dyDescent="0.25">
      <c r="A471">
        <v>470</v>
      </c>
      <c r="B471" s="1" t="s">
        <v>20</v>
      </c>
      <c r="C471">
        <v>52</v>
      </c>
      <c r="D471" s="1" t="s">
        <v>37</v>
      </c>
      <c r="E471" s="1" t="s">
        <v>31</v>
      </c>
      <c r="F471" s="1" t="s">
        <v>32</v>
      </c>
      <c r="G471" s="2">
        <v>45107</v>
      </c>
      <c r="H471">
        <v>11</v>
      </c>
      <c r="I471">
        <v>48250</v>
      </c>
      <c r="J471" s="1" t="s">
        <v>24</v>
      </c>
    </row>
    <row r="472" spans="1:10" x14ac:dyDescent="0.25">
      <c r="A472">
        <v>471</v>
      </c>
      <c r="B472" s="1" t="s">
        <v>13</v>
      </c>
      <c r="C472">
        <v>70</v>
      </c>
      <c r="D472" s="1" t="s">
        <v>34</v>
      </c>
      <c r="E472" s="1" t="s">
        <v>22</v>
      </c>
      <c r="F472" s="1" t="s">
        <v>16</v>
      </c>
      <c r="G472" s="2">
        <v>45173</v>
      </c>
      <c r="H472">
        <v>5</v>
      </c>
      <c r="I472">
        <v>9498</v>
      </c>
      <c r="J472" s="1" t="s">
        <v>24</v>
      </c>
    </row>
    <row r="473" spans="1:10" x14ac:dyDescent="0.25">
      <c r="A473">
        <v>472</v>
      </c>
      <c r="B473" s="1" t="s">
        <v>20</v>
      </c>
      <c r="C473">
        <v>88</v>
      </c>
      <c r="D473" s="1" t="s">
        <v>37</v>
      </c>
      <c r="E473" s="1" t="s">
        <v>15</v>
      </c>
      <c r="F473" s="1" t="s">
        <v>32</v>
      </c>
      <c r="G473" s="2">
        <v>45000</v>
      </c>
      <c r="H473">
        <v>3</v>
      </c>
      <c r="I473">
        <v>41404</v>
      </c>
      <c r="J473" s="1" t="s">
        <v>24</v>
      </c>
    </row>
    <row r="474" spans="1:10" x14ac:dyDescent="0.25">
      <c r="A474">
        <v>473</v>
      </c>
      <c r="B474" s="1" t="s">
        <v>13</v>
      </c>
      <c r="C474">
        <v>33</v>
      </c>
      <c r="D474" s="1" t="s">
        <v>34</v>
      </c>
      <c r="E474" s="1" t="s">
        <v>35</v>
      </c>
      <c r="F474" s="1" t="s">
        <v>16</v>
      </c>
      <c r="G474" s="2">
        <v>45248</v>
      </c>
      <c r="H474">
        <v>5</v>
      </c>
      <c r="I474">
        <v>42130</v>
      </c>
      <c r="J474" s="1" t="s">
        <v>24</v>
      </c>
    </row>
    <row r="475" spans="1:10" x14ac:dyDescent="0.25">
      <c r="A475">
        <v>474</v>
      </c>
      <c r="B475" s="1" t="s">
        <v>20</v>
      </c>
      <c r="C475">
        <v>49</v>
      </c>
      <c r="D475" s="1" t="s">
        <v>14</v>
      </c>
      <c r="E475" s="1" t="s">
        <v>15</v>
      </c>
      <c r="F475" s="1" t="s">
        <v>16</v>
      </c>
      <c r="G475" s="2">
        <v>45093</v>
      </c>
      <c r="H475">
        <v>12</v>
      </c>
      <c r="I475">
        <v>18395</v>
      </c>
      <c r="J475" s="1" t="s">
        <v>24</v>
      </c>
    </row>
    <row r="476" spans="1:10" x14ac:dyDescent="0.25">
      <c r="A476">
        <v>475</v>
      </c>
      <c r="B476" s="1" t="s">
        <v>13</v>
      </c>
      <c r="C476">
        <v>29</v>
      </c>
      <c r="D476" s="1" t="s">
        <v>21</v>
      </c>
      <c r="E476" s="1" t="s">
        <v>27</v>
      </c>
      <c r="F476" s="1" t="s">
        <v>16</v>
      </c>
      <c r="G476" s="2">
        <v>44970</v>
      </c>
      <c r="H476">
        <v>2</v>
      </c>
      <c r="I476">
        <v>4537</v>
      </c>
      <c r="J476" s="1" t="s">
        <v>24</v>
      </c>
    </row>
    <row r="477" spans="1:10" x14ac:dyDescent="0.25">
      <c r="A477">
        <v>476</v>
      </c>
      <c r="B477" s="1" t="s">
        <v>20</v>
      </c>
      <c r="C477">
        <v>63</v>
      </c>
      <c r="D477" s="1" t="s">
        <v>37</v>
      </c>
      <c r="E477" s="1" t="s">
        <v>31</v>
      </c>
      <c r="F477" s="1" t="s">
        <v>16</v>
      </c>
      <c r="G477" s="2">
        <v>45184</v>
      </c>
      <c r="H477">
        <v>4</v>
      </c>
      <c r="I477">
        <v>21226</v>
      </c>
      <c r="J477" s="1" t="s">
        <v>24</v>
      </c>
    </row>
    <row r="478" spans="1:10" x14ac:dyDescent="0.25">
      <c r="A478">
        <v>477</v>
      </c>
      <c r="B478" s="1" t="s">
        <v>13</v>
      </c>
      <c r="C478">
        <v>22</v>
      </c>
      <c r="D478" s="1" t="s">
        <v>34</v>
      </c>
      <c r="E478" s="1" t="s">
        <v>31</v>
      </c>
      <c r="F478" s="1" t="s">
        <v>23</v>
      </c>
      <c r="G478" s="2">
        <v>45263</v>
      </c>
      <c r="H478">
        <v>6</v>
      </c>
      <c r="I478">
        <v>17216</v>
      </c>
      <c r="J478" s="1" t="s">
        <v>39</v>
      </c>
    </row>
    <row r="479" spans="1:10" x14ac:dyDescent="0.25">
      <c r="A479">
        <v>478</v>
      </c>
      <c r="B479" s="1" t="s">
        <v>20</v>
      </c>
      <c r="C479">
        <v>26</v>
      </c>
      <c r="D479" s="1" t="s">
        <v>21</v>
      </c>
      <c r="E479" s="1" t="s">
        <v>15</v>
      </c>
      <c r="F479" s="1" t="s">
        <v>32</v>
      </c>
      <c r="G479" s="2">
        <v>44954</v>
      </c>
      <c r="H479">
        <v>1</v>
      </c>
      <c r="I479">
        <v>20613</v>
      </c>
      <c r="J479" s="1" t="s">
        <v>24</v>
      </c>
    </row>
    <row r="480" spans="1:10" x14ac:dyDescent="0.25">
      <c r="A480">
        <v>479</v>
      </c>
      <c r="B480" s="1" t="s">
        <v>13</v>
      </c>
      <c r="C480">
        <v>28</v>
      </c>
      <c r="D480" s="1" t="s">
        <v>45</v>
      </c>
      <c r="E480" s="1" t="s">
        <v>22</v>
      </c>
      <c r="F480" s="1" t="s">
        <v>32</v>
      </c>
      <c r="G480" s="2">
        <v>44943</v>
      </c>
      <c r="H480">
        <v>10</v>
      </c>
      <c r="I480">
        <v>5009</v>
      </c>
      <c r="J480" s="1" t="s">
        <v>24</v>
      </c>
    </row>
    <row r="481" spans="1:10" x14ac:dyDescent="0.25">
      <c r="A481">
        <v>480</v>
      </c>
      <c r="B481" s="1" t="s">
        <v>20</v>
      </c>
      <c r="C481">
        <v>85</v>
      </c>
      <c r="D481" s="1" t="s">
        <v>34</v>
      </c>
      <c r="E481" s="1" t="s">
        <v>35</v>
      </c>
      <c r="F481" s="1" t="s">
        <v>16</v>
      </c>
      <c r="G481" s="2">
        <v>45019</v>
      </c>
      <c r="H481">
        <v>4</v>
      </c>
      <c r="I481">
        <v>26368</v>
      </c>
      <c r="J481" s="1" t="s">
        <v>39</v>
      </c>
    </row>
    <row r="482" spans="1:10" x14ac:dyDescent="0.25">
      <c r="A482">
        <v>481</v>
      </c>
      <c r="B482" s="1" t="s">
        <v>20</v>
      </c>
      <c r="C482">
        <v>49</v>
      </c>
      <c r="D482" s="1" t="s">
        <v>14</v>
      </c>
      <c r="E482" s="1" t="s">
        <v>31</v>
      </c>
      <c r="F482" s="1" t="s">
        <v>16</v>
      </c>
      <c r="G482" s="2">
        <v>44958</v>
      </c>
      <c r="H482">
        <v>6</v>
      </c>
      <c r="I482">
        <v>31327</v>
      </c>
      <c r="J482" s="1" t="s">
        <v>24</v>
      </c>
    </row>
    <row r="483" spans="1:10" x14ac:dyDescent="0.25">
      <c r="A483">
        <v>482</v>
      </c>
      <c r="B483" s="1" t="s">
        <v>20</v>
      </c>
      <c r="C483">
        <v>71</v>
      </c>
      <c r="D483" s="1" t="s">
        <v>45</v>
      </c>
      <c r="E483" s="1" t="s">
        <v>27</v>
      </c>
      <c r="F483" s="1" t="s">
        <v>32</v>
      </c>
      <c r="G483" s="2">
        <v>45166</v>
      </c>
      <c r="H483">
        <v>9</v>
      </c>
      <c r="I483">
        <v>16209</v>
      </c>
      <c r="J483" s="1" t="s">
        <v>24</v>
      </c>
    </row>
    <row r="484" spans="1:10" x14ac:dyDescent="0.25">
      <c r="A484">
        <v>483</v>
      </c>
      <c r="B484" s="1" t="s">
        <v>13</v>
      </c>
      <c r="C484">
        <v>81</v>
      </c>
      <c r="D484" s="1" t="s">
        <v>45</v>
      </c>
      <c r="E484" s="1" t="s">
        <v>27</v>
      </c>
      <c r="F484" s="1" t="s">
        <v>23</v>
      </c>
      <c r="G484" s="2">
        <v>45000</v>
      </c>
      <c r="H484">
        <v>14</v>
      </c>
      <c r="I484">
        <v>17029</v>
      </c>
      <c r="J484" s="1" t="s">
        <v>24</v>
      </c>
    </row>
    <row r="485" spans="1:10" x14ac:dyDescent="0.25">
      <c r="A485">
        <v>484</v>
      </c>
      <c r="B485" s="1" t="s">
        <v>20</v>
      </c>
      <c r="C485">
        <v>84</v>
      </c>
      <c r="D485" s="1" t="s">
        <v>30</v>
      </c>
      <c r="E485" s="1" t="s">
        <v>22</v>
      </c>
      <c r="F485" s="1" t="s">
        <v>28</v>
      </c>
      <c r="G485" s="2">
        <v>44985</v>
      </c>
      <c r="H485">
        <v>11</v>
      </c>
      <c r="I485">
        <v>4077</v>
      </c>
      <c r="J485" s="1" t="s">
        <v>24</v>
      </c>
    </row>
    <row r="486" spans="1:10" x14ac:dyDescent="0.25">
      <c r="A486">
        <v>485</v>
      </c>
      <c r="B486" s="1" t="s">
        <v>13</v>
      </c>
      <c r="C486">
        <v>49</v>
      </c>
      <c r="D486" s="1" t="s">
        <v>37</v>
      </c>
      <c r="E486" s="1" t="s">
        <v>31</v>
      </c>
      <c r="F486" s="1" t="s">
        <v>28</v>
      </c>
      <c r="G486" s="2">
        <v>45186</v>
      </c>
      <c r="H486">
        <v>11</v>
      </c>
      <c r="I486">
        <v>15907</v>
      </c>
      <c r="J486" s="1" t="s">
        <v>39</v>
      </c>
    </row>
    <row r="487" spans="1:10" x14ac:dyDescent="0.25">
      <c r="A487">
        <v>486</v>
      </c>
      <c r="B487" s="1" t="s">
        <v>20</v>
      </c>
      <c r="C487">
        <v>20</v>
      </c>
      <c r="D487" s="1" t="s">
        <v>34</v>
      </c>
      <c r="E487" s="1" t="s">
        <v>15</v>
      </c>
      <c r="F487" s="1" t="s">
        <v>32</v>
      </c>
      <c r="G487" s="2">
        <v>45110</v>
      </c>
      <c r="H487">
        <v>13</v>
      </c>
      <c r="I487">
        <v>38635</v>
      </c>
      <c r="J487" s="1" t="s">
        <v>24</v>
      </c>
    </row>
    <row r="488" spans="1:10" x14ac:dyDescent="0.25">
      <c r="A488">
        <v>487</v>
      </c>
      <c r="B488" s="1" t="s">
        <v>13</v>
      </c>
      <c r="C488">
        <v>86</v>
      </c>
      <c r="D488" s="1" t="s">
        <v>45</v>
      </c>
      <c r="E488" s="1" t="s">
        <v>27</v>
      </c>
      <c r="F488" s="1" t="s">
        <v>16</v>
      </c>
      <c r="G488" s="2">
        <v>45287</v>
      </c>
      <c r="H488">
        <v>2</v>
      </c>
      <c r="I488">
        <v>6873</v>
      </c>
      <c r="J488" s="1" t="s">
        <v>24</v>
      </c>
    </row>
    <row r="489" spans="1:10" x14ac:dyDescent="0.25">
      <c r="A489">
        <v>488</v>
      </c>
      <c r="B489" s="1" t="s">
        <v>20</v>
      </c>
      <c r="C489">
        <v>63</v>
      </c>
      <c r="D489" s="1" t="s">
        <v>30</v>
      </c>
      <c r="E489" s="1" t="s">
        <v>22</v>
      </c>
      <c r="F489" s="1" t="s">
        <v>16</v>
      </c>
      <c r="G489" s="2">
        <v>45014</v>
      </c>
      <c r="H489">
        <v>11</v>
      </c>
      <c r="I489">
        <v>10635</v>
      </c>
      <c r="J489" s="1" t="s">
        <v>24</v>
      </c>
    </row>
    <row r="490" spans="1:10" x14ac:dyDescent="0.25">
      <c r="A490">
        <v>489</v>
      </c>
      <c r="B490" s="1" t="s">
        <v>13</v>
      </c>
      <c r="C490">
        <v>61</v>
      </c>
      <c r="D490" s="1" t="s">
        <v>14</v>
      </c>
      <c r="E490" s="1" t="s">
        <v>31</v>
      </c>
      <c r="F490" s="1" t="s">
        <v>23</v>
      </c>
      <c r="G490" s="2">
        <v>45277</v>
      </c>
      <c r="H490">
        <v>7</v>
      </c>
      <c r="I490">
        <v>35065</v>
      </c>
      <c r="J490" s="1" t="s">
        <v>24</v>
      </c>
    </row>
    <row r="491" spans="1:10" x14ac:dyDescent="0.25">
      <c r="A491">
        <v>490</v>
      </c>
      <c r="B491" s="1" t="s">
        <v>13</v>
      </c>
      <c r="C491">
        <v>49</v>
      </c>
      <c r="D491" s="1" t="s">
        <v>21</v>
      </c>
      <c r="E491" s="1" t="s">
        <v>31</v>
      </c>
      <c r="F491" s="1" t="s">
        <v>28</v>
      </c>
      <c r="G491" s="2">
        <v>45049</v>
      </c>
      <c r="H491">
        <v>6</v>
      </c>
      <c r="I491">
        <v>47863</v>
      </c>
      <c r="J491" s="1" t="s">
        <v>39</v>
      </c>
    </row>
    <row r="492" spans="1:10" x14ac:dyDescent="0.25">
      <c r="A492">
        <v>491</v>
      </c>
      <c r="B492" s="1" t="s">
        <v>20</v>
      </c>
      <c r="C492">
        <v>71</v>
      </c>
      <c r="D492" s="1" t="s">
        <v>34</v>
      </c>
      <c r="E492" s="1" t="s">
        <v>31</v>
      </c>
      <c r="F492" s="1" t="s">
        <v>23</v>
      </c>
      <c r="G492" s="2">
        <v>45009</v>
      </c>
      <c r="H492">
        <v>2</v>
      </c>
      <c r="I492">
        <v>43804</v>
      </c>
      <c r="J492" s="1" t="s">
        <v>39</v>
      </c>
    </row>
    <row r="493" spans="1:10" x14ac:dyDescent="0.25">
      <c r="A493">
        <v>492</v>
      </c>
      <c r="B493" s="1" t="s">
        <v>13</v>
      </c>
      <c r="C493">
        <v>1</v>
      </c>
      <c r="D493" s="1" t="s">
        <v>45</v>
      </c>
      <c r="E493" s="1" t="s">
        <v>31</v>
      </c>
      <c r="F493" s="1" t="s">
        <v>28</v>
      </c>
      <c r="G493" s="2">
        <v>45116</v>
      </c>
      <c r="H493">
        <v>8</v>
      </c>
      <c r="I493">
        <v>35783</v>
      </c>
      <c r="J493" s="1" t="s">
        <v>24</v>
      </c>
    </row>
    <row r="494" spans="1:10" x14ac:dyDescent="0.25">
      <c r="A494">
        <v>493</v>
      </c>
      <c r="B494" s="1" t="s">
        <v>13</v>
      </c>
      <c r="C494">
        <v>13</v>
      </c>
      <c r="D494" s="1" t="s">
        <v>37</v>
      </c>
      <c r="E494" s="1" t="s">
        <v>31</v>
      </c>
      <c r="F494" s="1" t="s">
        <v>32</v>
      </c>
      <c r="G494" s="2">
        <v>45224</v>
      </c>
      <c r="H494">
        <v>7</v>
      </c>
      <c r="I494">
        <v>36152</v>
      </c>
      <c r="J494" s="1" t="s">
        <v>24</v>
      </c>
    </row>
    <row r="495" spans="1:10" x14ac:dyDescent="0.25">
      <c r="A495">
        <v>494</v>
      </c>
      <c r="B495" s="1" t="s">
        <v>20</v>
      </c>
      <c r="C495">
        <v>87</v>
      </c>
      <c r="D495" s="1" t="s">
        <v>30</v>
      </c>
      <c r="E495" s="1" t="s">
        <v>27</v>
      </c>
      <c r="F495" s="1" t="s">
        <v>28</v>
      </c>
      <c r="G495" s="2">
        <v>45091</v>
      </c>
      <c r="H495">
        <v>11</v>
      </c>
      <c r="I495">
        <v>43513</v>
      </c>
      <c r="J495" s="1" t="s">
        <v>24</v>
      </c>
    </row>
    <row r="496" spans="1:10" x14ac:dyDescent="0.25">
      <c r="A496">
        <v>495</v>
      </c>
      <c r="B496" s="1" t="s">
        <v>13</v>
      </c>
      <c r="C496">
        <v>51</v>
      </c>
      <c r="D496" s="1" t="s">
        <v>45</v>
      </c>
      <c r="E496" s="1" t="s">
        <v>22</v>
      </c>
      <c r="F496" s="1" t="s">
        <v>23</v>
      </c>
      <c r="G496" s="2">
        <v>45186</v>
      </c>
      <c r="H496">
        <v>5</v>
      </c>
      <c r="I496">
        <v>31092</v>
      </c>
      <c r="J496" s="1" t="s">
        <v>39</v>
      </c>
    </row>
    <row r="497" spans="1:10" x14ac:dyDescent="0.25">
      <c r="A497">
        <v>496</v>
      </c>
      <c r="B497" s="1" t="s">
        <v>13</v>
      </c>
      <c r="C497">
        <v>56</v>
      </c>
      <c r="D497" s="1" t="s">
        <v>37</v>
      </c>
      <c r="E497" s="1" t="s">
        <v>31</v>
      </c>
      <c r="F497" s="1" t="s">
        <v>23</v>
      </c>
      <c r="G497" s="2">
        <v>45226</v>
      </c>
      <c r="H497">
        <v>12</v>
      </c>
      <c r="I497">
        <v>19653</v>
      </c>
      <c r="J497" s="1" t="s">
        <v>24</v>
      </c>
    </row>
    <row r="498" spans="1:10" x14ac:dyDescent="0.25">
      <c r="A498">
        <v>497</v>
      </c>
      <c r="B498" s="1" t="s">
        <v>13</v>
      </c>
      <c r="C498">
        <v>83</v>
      </c>
      <c r="D498" s="1" t="s">
        <v>45</v>
      </c>
      <c r="E498" s="1" t="s">
        <v>35</v>
      </c>
      <c r="F498" s="1" t="s">
        <v>23</v>
      </c>
      <c r="G498" s="2">
        <v>45122</v>
      </c>
      <c r="H498">
        <v>5</v>
      </c>
      <c r="I498">
        <v>34463</v>
      </c>
      <c r="J498" s="1" t="s">
        <v>24</v>
      </c>
    </row>
    <row r="499" spans="1:10" x14ac:dyDescent="0.25">
      <c r="A499">
        <v>498</v>
      </c>
      <c r="B499" s="1" t="s">
        <v>20</v>
      </c>
      <c r="C499">
        <v>62</v>
      </c>
      <c r="D499" s="1" t="s">
        <v>34</v>
      </c>
      <c r="E499" s="1" t="s">
        <v>35</v>
      </c>
      <c r="F499" s="1" t="s">
        <v>32</v>
      </c>
      <c r="G499" s="2">
        <v>45197</v>
      </c>
      <c r="H499">
        <v>7</v>
      </c>
      <c r="I499">
        <v>36028</v>
      </c>
      <c r="J499" s="1" t="s">
        <v>24</v>
      </c>
    </row>
    <row r="500" spans="1:10" x14ac:dyDescent="0.25">
      <c r="A500">
        <v>499</v>
      </c>
      <c r="B500" s="1" t="s">
        <v>13</v>
      </c>
      <c r="C500">
        <v>32</v>
      </c>
      <c r="D500" s="1" t="s">
        <v>34</v>
      </c>
      <c r="E500" s="1" t="s">
        <v>22</v>
      </c>
      <c r="F500" s="1" t="s">
        <v>28</v>
      </c>
      <c r="G500" s="2">
        <v>45080</v>
      </c>
      <c r="H500">
        <v>9</v>
      </c>
      <c r="I500">
        <v>42469</v>
      </c>
      <c r="J500" s="1" t="s">
        <v>24</v>
      </c>
    </row>
    <row r="501" spans="1:10" x14ac:dyDescent="0.25">
      <c r="A501">
        <v>500</v>
      </c>
      <c r="B501" s="1" t="s">
        <v>20</v>
      </c>
      <c r="C501">
        <v>30</v>
      </c>
      <c r="D501" s="1" t="s">
        <v>34</v>
      </c>
      <c r="E501" s="1" t="s">
        <v>15</v>
      </c>
      <c r="F501" s="1" t="s">
        <v>28</v>
      </c>
      <c r="G501" s="2">
        <v>45131</v>
      </c>
      <c r="H501">
        <v>11</v>
      </c>
      <c r="I501">
        <v>22947</v>
      </c>
      <c r="J501" s="1" t="s">
        <v>24</v>
      </c>
    </row>
    <row r="502" spans="1:10" x14ac:dyDescent="0.25">
      <c r="A502">
        <v>501</v>
      </c>
      <c r="B502" s="1" t="s">
        <v>13</v>
      </c>
      <c r="C502">
        <v>29</v>
      </c>
      <c r="D502" s="1" t="s">
        <v>14</v>
      </c>
      <c r="E502" s="1" t="s">
        <v>15</v>
      </c>
      <c r="F502" s="1" t="s">
        <v>23</v>
      </c>
      <c r="G502" s="2">
        <v>45023</v>
      </c>
      <c r="H502">
        <v>9</v>
      </c>
      <c r="I502">
        <v>31978</v>
      </c>
      <c r="J502" s="1" t="s">
        <v>24</v>
      </c>
    </row>
    <row r="503" spans="1:10" x14ac:dyDescent="0.25">
      <c r="A503">
        <v>502</v>
      </c>
      <c r="B503" s="1" t="s">
        <v>13</v>
      </c>
      <c r="C503">
        <v>49</v>
      </c>
      <c r="D503" s="1" t="s">
        <v>14</v>
      </c>
      <c r="E503" s="1" t="s">
        <v>15</v>
      </c>
      <c r="F503" s="1" t="s">
        <v>28</v>
      </c>
      <c r="G503" s="2">
        <v>45197</v>
      </c>
      <c r="H503">
        <v>9</v>
      </c>
      <c r="I503">
        <v>24056</v>
      </c>
      <c r="J503" s="1" t="s">
        <v>24</v>
      </c>
    </row>
    <row r="504" spans="1:10" x14ac:dyDescent="0.25">
      <c r="A504">
        <v>503</v>
      </c>
      <c r="B504" s="1" t="s">
        <v>13</v>
      </c>
      <c r="C504">
        <v>45</v>
      </c>
      <c r="D504" s="1" t="s">
        <v>30</v>
      </c>
      <c r="E504" s="1" t="s">
        <v>35</v>
      </c>
      <c r="F504" s="1" t="s">
        <v>16</v>
      </c>
      <c r="G504" s="2">
        <v>45075</v>
      </c>
      <c r="H504">
        <v>6</v>
      </c>
      <c r="I504">
        <v>31007</v>
      </c>
      <c r="J504" s="1" t="s">
        <v>24</v>
      </c>
    </row>
    <row r="505" spans="1:10" x14ac:dyDescent="0.25">
      <c r="A505">
        <v>504</v>
      </c>
      <c r="B505" s="1" t="s">
        <v>20</v>
      </c>
      <c r="C505">
        <v>30</v>
      </c>
      <c r="D505" s="1" t="s">
        <v>34</v>
      </c>
      <c r="E505" s="1" t="s">
        <v>15</v>
      </c>
      <c r="F505" s="1" t="s">
        <v>16</v>
      </c>
      <c r="G505" s="2">
        <v>45216</v>
      </c>
      <c r="H505">
        <v>10</v>
      </c>
      <c r="I505">
        <v>45169</v>
      </c>
      <c r="J505" s="1" t="s">
        <v>24</v>
      </c>
    </row>
    <row r="506" spans="1:10" x14ac:dyDescent="0.25">
      <c r="A506">
        <v>505</v>
      </c>
      <c r="B506" s="1" t="s">
        <v>13</v>
      </c>
      <c r="C506">
        <v>16</v>
      </c>
      <c r="D506" s="1" t="s">
        <v>37</v>
      </c>
      <c r="E506" s="1" t="s">
        <v>27</v>
      </c>
      <c r="F506" s="1" t="s">
        <v>16</v>
      </c>
      <c r="G506" s="2">
        <v>44960</v>
      </c>
      <c r="H506">
        <v>6</v>
      </c>
      <c r="I506">
        <v>46632</v>
      </c>
      <c r="J506" s="1" t="s">
        <v>39</v>
      </c>
    </row>
    <row r="507" spans="1:10" x14ac:dyDescent="0.25">
      <c r="A507">
        <v>506</v>
      </c>
      <c r="B507" s="1" t="s">
        <v>13</v>
      </c>
      <c r="C507">
        <v>40</v>
      </c>
      <c r="D507" s="1" t="s">
        <v>45</v>
      </c>
      <c r="E507" s="1" t="s">
        <v>31</v>
      </c>
      <c r="F507" s="1" t="s">
        <v>28</v>
      </c>
      <c r="G507" s="2">
        <v>45214</v>
      </c>
      <c r="H507">
        <v>3</v>
      </c>
      <c r="I507">
        <v>7543</v>
      </c>
      <c r="J507" s="1" t="s">
        <v>24</v>
      </c>
    </row>
    <row r="508" spans="1:10" x14ac:dyDescent="0.25">
      <c r="A508">
        <v>507</v>
      </c>
      <c r="B508" s="1" t="s">
        <v>20</v>
      </c>
      <c r="C508">
        <v>19</v>
      </c>
      <c r="D508" s="1" t="s">
        <v>21</v>
      </c>
      <c r="E508" s="1" t="s">
        <v>35</v>
      </c>
      <c r="F508" s="1" t="s">
        <v>32</v>
      </c>
      <c r="G508" s="2">
        <v>45136</v>
      </c>
      <c r="H508">
        <v>1</v>
      </c>
      <c r="I508">
        <v>23067</v>
      </c>
      <c r="J508" s="1" t="s">
        <v>24</v>
      </c>
    </row>
    <row r="509" spans="1:10" x14ac:dyDescent="0.25">
      <c r="A509">
        <v>508</v>
      </c>
      <c r="B509" s="1" t="s">
        <v>13</v>
      </c>
      <c r="C509">
        <v>18</v>
      </c>
      <c r="D509" s="1" t="s">
        <v>37</v>
      </c>
      <c r="E509" s="1" t="s">
        <v>22</v>
      </c>
      <c r="F509" s="1" t="s">
        <v>32</v>
      </c>
      <c r="G509" s="2">
        <v>45067</v>
      </c>
      <c r="H509">
        <v>7</v>
      </c>
      <c r="I509">
        <v>47256</v>
      </c>
      <c r="J509" s="1" t="s">
        <v>24</v>
      </c>
    </row>
    <row r="510" spans="1:10" x14ac:dyDescent="0.25">
      <c r="A510">
        <v>509</v>
      </c>
      <c r="B510" s="1" t="s">
        <v>20</v>
      </c>
      <c r="C510">
        <v>1</v>
      </c>
      <c r="D510" s="1" t="s">
        <v>14</v>
      </c>
      <c r="E510" s="1" t="s">
        <v>22</v>
      </c>
      <c r="F510" s="1" t="s">
        <v>32</v>
      </c>
      <c r="G510" s="2">
        <v>45137</v>
      </c>
      <c r="H510">
        <v>4</v>
      </c>
      <c r="I510">
        <v>27097</v>
      </c>
      <c r="J510" s="1" t="s">
        <v>24</v>
      </c>
    </row>
    <row r="511" spans="1:10" x14ac:dyDescent="0.25">
      <c r="A511">
        <v>510</v>
      </c>
      <c r="B511" s="1" t="s">
        <v>20</v>
      </c>
      <c r="C511">
        <v>78</v>
      </c>
      <c r="D511" s="1" t="s">
        <v>14</v>
      </c>
      <c r="E511" s="1" t="s">
        <v>31</v>
      </c>
      <c r="F511" s="1" t="s">
        <v>32</v>
      </c>
      <c r="G511" s="2">
        <v>45037</v>
      </c>
      <c r="H511">
        <v>1</v>
      </c>
      <c r="I511">
        <v>44847</v>
      </c>
      <c r="J511" s="1" t="s">
        <v>24</v>
      </c>
    </row>
    <row r="512" spans="1:10" x14ac:dyDescent="0.25">
      <c r="A512">
        <v>511</v>
      </c>
      <c r="B512" s="1" t="s">
        <v>13</v>
      </c>
      <c r="C512">
        <v>47</v>
      </c>
      <c r="D512" s="1" t="s">
        <v>37</v>
      </c>
      <c r="E512" s="1" t="s">
        <v>35</v>
      </c>
      <c r="F512" s="1" t="s">
        <v>16</v>
      </c>
      <c r="G512" s="2">
        <v>45065</v>
      </c>
      <c r="H512">
        <v>8</v>
      </c>
      <c r="I512">
        <v>45512</v>
      </c>
      <c r="J512" s="1" t="s">
        <v>39</v>
      </c>
    </row>
    <row r="513" spans="1:10" x14ac:dyDescent="0.25">
      <c r="A513">
        <v>512</v>
      </c>
      <c r="B513" s="1" t="s">
        <v>20</v>
      </c>
      <c r="C513">
        <v>66</v>
      </c>
      <c r="D513" s="1" t="s">
        <v>14</v>
      </c>
      <c r="E513" s="1" t="s">
        <v>15</v>
      </c>
      <c r="F513" s="1" t="s">
        <v>16</v>
      </c>
      <c r="G513" s="2">
        <v>45073</v>
      </c>
      <c r="H513">
        <v>12</v>
      </c>
      <c r="I513">
        <v>5809</v>
      </c>
      <c r="J513" s="1" t="s">
        <v>24</v>
      </c>
    </row>
    <row r="514" spans="1:10" x14ac:dyDescent="0.25">
      <c r="A514">
        <v>513</v>
      </c>
      <c r="B514" s="1" t="s">
        <v>13</v>
      </c>
      <c r="C514">
        <v>38</v>
      </c>
      <c r="D514" s="1" t="s">
        <v>34</v>
      </c>
      <c r="E514" s="1" t="s">
        <v>15</v>
      </c>
      <c r="F514" s="1" t="s">
        <v>23</v>
      </c>
      <c r="G514" s="2">
        <v>45075</v>
      </c>
      <c r="H514">
        <v>6</v>
      </c>
      <c r="I514">
        <v>24191</v>
      </c>
      <c r="J514" s="1" t="s">
        <v>17</v>
      </c>
    </row>
    <row r="515" spans="1:10" x14ac:dyDescent="0.25">
      <c r="A515">
        <v>514</v>
      </c>
      <c r="B515" s="1" t="s">
        <v>20</v>
      </c>
      <c r="C515">
        <v>51</v>
      </c>
      <c r="D515" s="1" t="s">
        <v>30</v>
      </c>
      <c r="E515" s="1" t="s">
        <v>27</v>
      </c>
      <c r="F515" s="1" t="s">
        <v>28</v>
      </c>
      <c r="G515" s="2">
        <v>45189</v>
      </c>
      <c r="H515">
        <v>6</v>
      </c>
      <c r="I515">
        <v>23267</v>
      </c>
      <c r="J515" s="1" t="s">
        <v>24</v>
      </c>
    </row>
    <row r="516" spans="1:10" x14ac:dyDescent="0.25">
      <c r="A516">
        <v>515</v>
      </c>
      <c r="B516" s="1" t="s">
        <v>20</v>
      </c>
      <c r="C516">
        <v>63</v>
      </c>
      <c r="D516" s="1" t="s">
        <v>45</v>
      </c>
      <c r="E516" s="1" t="s">
        <v>27</v>
      </c>
      <c r="F516" s="1" t="s">
        <v>28</v>
      </c>
      <c r="G516" s="2">
        <v>45081</v>
      </c>
      <c r="H516">
        <v>2</v>
      </c>
      <c r="I516">
        <v>9206</v>
      </c>
      <c r="J516" s="1" t="s">
        <v>24</v>
      </c>
    </row>
    <row r="517" spans="1:10" x14ac:dyDescent="0.25">
      <c r="A517">
        <v>516</v>
      </c>
      <c r="B517" s="1" t="s">
        <v>13</v>
      </c>
      <c r="C517">
        <v>4</v>
      </c>
      <c r="D517" s="1" t="s">
        <v>30</v>
      </c>
      <c r="E517" s="1" t="s">
        <v>15</v>
      </c>
      <c r="F517" s="1" t="s">
        <v>32</v>
      </c>
      <c r="G517" s="2">
        <v>44938</v>
      </c>
      <c r="H517">
        <v>1</v>
      </c>
      <c r="I517">
        <v>23057</v>
      </c>
      <c r="J517" s="1" t="s">
        <v>24</v>
      </c>
    </row>
    <row r="518" spans="1:10" x14ac:dyDescent="0.25">
      <c r="A518">
        <v>517</v>
      </c>
      <c r="B518" s="1" t="s">
        <v>20</v>
      </c>
      <c r="C518">
        <v>1</v>
      </c>
      <c r="D518" s="1" t="s">
        <v>45</v>
      </c>
      <c r="E518" s="1" t="s">
        <v>22</v>
      </c>
      <c r="F518" s="1" t="s">
        <v>16</v>
      </c>
      <c r="G518" s="2">
        <v>45208</v>
      </c>
      <c r="H518">
        <v>13</v>
      </c>
      <c r="I518">
        <v>30992</v>
      </c>
      <c r="J518" s="1" t="s">
        <v>24</v>
      </c>
    </row>
    <row r="519" spans="1:10" x14ac:dyDescent="0.25">
      <c r="A519">
        <v>518</v>
      </c>
      <c r="B519" s="1" t="s">
        <v>20</v>
      </c>
      <c r="C519">
        <v>8</v>
      </c>
      <c r="D519" s="1" t="s">
        <v>45</v>
      </c>
      <c r="E519" s="1" t="s">
        <v>22</v>
      </c>
      <c r="F519" s="1" t="s">
        <v>32</v>
      </c>
      <c r="G519" s="2">
        <v>45269</v>
      </c>
      <c r="H519">
        <v>14</v>
      </c>
      <c r="I519">
        <v>48514</v>
      </c>
      <c r="J519" s="1" t="s">
        <v>39</v>
      </c>
    </row>
    <row r="520" spans="1:10" x14ac:dyDescent="0.25">
      <c r="A520">
        <v>519</v>
      </c>
      <c r="B520" s="1" t="s">
        <v>20</v>
      </c>
      <c r="C520">
        <v>29</v>
      </c>
      <c r="D520" s="1" t="s">
        <v>30</v>
      </c>
      <c r="E520" s="1" t="s">
        <v>27</v>
      </c>
      <c r="F520" s="1" t="s">
        <v>23</v>
      </c>
      <c r="G520" s="2">
        <v>45040</v>
      </c>
      <c r="H520">
        <v>14</v>
      </c>
      <c r="I520">
        <v>17995</v>
      </c>
      <c r="J520" s="1" t="s">
        <v>39</v>
      </c>
    </row>
    <row r="521" spans="1:10" x14ac:dyDescent="0.25">
      <c r="A521">
        <v>520</v>
      </c>
      <c r="B521" s="1" t="s">
        <v>20</v>
      </c>
      <c r="C521">
        <v>55</v>
      </c>
      <c r="D521" s="1" t="s">
        <v>37</v>
      </c>
      <c r="E521" s="1" t="s">
        <v>31</v>
      </c>
      <c r="F521" s="1" t="s">
        <v>28</v>
      </c>
      <c r="G521" s="2">
        <v>45245</v>
      </c>
      <c r="H521">
        <v>2</v>
      </c>
      <c r="I521">
        <v>46439</v>
      </c>
      <c r="J521" s="1" t="s">
        <v>39</v>
      </c>
    </row>
    <row r="522" spans="1:10" x14ac:dyDescent="0.25">
      <c r="A522">
        <v>521</v>
      </c>
      <c r="B522" s="1" t="s">
        <v>20</v>
      </c>
      <c r="C522">
        <v>3</v>
      </c>
      <c r="D522" s="1" t="s">
        <v>45</v>
      </c>
      <c r="E522" s="1" t="s">
        <v>15</v>
      </c>
      <c r="F522" s="1" t="s">
        <v>28</v>
      </c>
      <c r="G522" s="2">
        <v>44945</v>
      </c>
      <c r="H522">
        <v>4</v>
      </c>
      <c r="I522">
        <v>15210</v>
      </c>
      <c r="J522" s="1" t="s">
        <v>17</v>
      </c>
    </row>
    <row r="523" spans="1:10" x14ac:dyDescent="0.25">
      <c r="A523">
        <v>522</v>
      </c>
      <c r="B523" s="1" t="s">
        <v>13</v>
      </c>
      <c r="C523">
        <v>32</v>
      </c>
      <c r="D523" s="1" t="s">
        <v>30</v>
      </c>
      <c r="E523" s="1" t="s">
        <v>27</v>
      </c>
      <c r="F523" s="1" t="s">
        <v>32</v>
      </c>
      <c r="G523" s="2">
        <v>45087</v>
      </c>
      <c r="H523">
        <v>2</v>
      </c>
      <c r="I523">
        <v>19793</v>
      </c>
      <c r="J523" s="1" t="s">
        <v>39</v>
      </c>
    </row>
    <row r="524" spans="1:10" x14ac:dyDescent="0.25">
      <c r="A524">
        <v>523</v>
      </c>
      <c r="B524" s="1" t="s">
        <v>20</v>
      </c>
      <c r="C524">
        <v>10</v>
      </c>
      <c r="D524" s="1" t="s">
        <v>45</v>
      </c>
      <c r="E524" s="1" t="s">
        <v>27</v>
      </c>
      <c r="F524" s="1" t="s">
        <v>23</v>
      </c>
      <c r="G524" s="2">
        <v>45201</v>
      </c>
      <c r="H524">
        <v>1</v>
      </c>
      <c r="I524">
        <v>28270</v>
      </c>
      <c r="J524" s="1" t="s">
        <v>24</v>
      </c>
    </row>
    <row r="525" spans="1:10" x14ac:dyDescent="0.25">
      <c r="A525">
        <v>524</v>
      </c>
      <c r="B525" s="1" t="s">
        <v>13</v>
      </c>
      <c r="C525">
        <v>74</v>
      </c>
      <c r="D525" s="1" t="s">
        <v>21</v>
      </c>
      <c r="E525" s="1" t="s">
        <v>15</v>
      </c>
      <c r="F525" s="1" t="s">
        <v>28</v>
      </c>
      <c r="G525" s="2">
        <v>45075</v>
      </c>
      <c r="H525">
        <v>7</v>
      </c>
      <c r="I525">
        <v>7197</v>
      </c>
      <c r="J525" s="1" t="s">
        <v>24</v>
      </c>
    </row>
    <row r="526" spans="1:10" x14ac:dyDescent="0.25">
      <c r="A526">
        <v>525</v>
      </c>
      <c r="B526" s="1" t="s">
        <v>20</v>
      </c>
      <c r="C526">
        <v>83</v>
      </c>
      <c r="D526" s="1" t="s">
        <v>37</v>
      </c>
      <c r="E526" s="1" t="s">
        <v>15</v>
      </c>
      <c r="F526" s="1" t="s">
        <v>23</v>
      </c>
      <c r="G526" s="2">
        <v>45056</v>
      </c>
      <c r="H526">
        <v>11</v>
      </c>
      <c r="I526">
        <v>9452</v>
      </c>
      <c r="J526" s="1" t="s">
        <v>24</v>
      </c>
    </row>
    <row r="527" spans="1:10" x14ac:dyDescent="0.25">
      <c r="A527">
        <v>526</v>
      </c>
      <c r="B527" s="1" t="s">
        <v>13</v>
      </c>
      <c r="C527">
        <v>34</v>
      </c>
      <c r="D527" s="1" t="s">
        <v>34</v>
      </c>
      <c r="E527" s="1" t="s">
        <v>22</v>
      </c>
      <c r="F527" s="1" t="s">
        <v>23</v>
      </c>
      <c r="G527" s="2">
        <v>45236</v>
      </c>
      <c r="H527">
        <v>11</v>
      </c>
      <c r="I527">
        <v>43486</v>
      </c>
      <c r="J527" s="1" t="s">
        <v>24</v>
      </c>
    </row>
    <row r="528" spans="1:10" x14ac:dyDescent="0.25">
      <c r="A528">
        <v>527</v>
      </c>
      <c r="B528" s="1" t="s">
        <v>13</v>
      </c>
      <c r="C528">
        <v>87</v>
      </c>
      <c r="D528" s="1" t="s">
        <v>45</v>
      </c>
      <c r="E528" s="1" t="s">
        <v>31</v>
      </c>
      <c r="F528" s="1" t="s">
        <v>32</v>
      </c>
      <c r="G528" s="2">
        <v>45250</v>
      </c>
      <c r="H528">
        <v>12</v>
      </c>
      <c r="I528">
        <v>16859</v>
      </c>
      <c r="J528" s="1" t="s">
        <v>39</v>
      </c>
    </row>
    <row r="529" spans="1:10" x14ac:dyDescent="0.25">
      <c r="A529">
        <v>528</v>
      </c>
      <c r="B529" s="1" t="s">
        <v>20</v>
      </c>
      <c r="C529">
        <v>55</v>
      </c>
      <c r="D529" s="1" t="s">
        <v>21</v>
      </c>
      <c r="E529" s="1" t="s">
        <v>31</v>
      </c>
      <c r="F529" s="1" t="s">
        <v>16</v>
      </c>
      <c r="G529" s="2">
        <v>45087</v>
      </c>
      <c r="H529">
        <v>8</v>
      </c>
      <c r="I529">
        <v>29236</v>
      </c>
      <c r="J529" s="1" t="s">
        <v>24</v>
      </c>
    </row>
    <row r="530" spans="1:10" x14ac:dyDescent="0.25">
      <c r="A530">
        <v>529</v>
      </c>
      <c r="B530" s="1" t="s">
        <v>20</v>
      </c>
      <c r="C530">
        <v>32</v>
      </c>
      <c r="D530" s="1" t="s">
        <v>34</v>
      </c>
      <c r="E530" s="1" t="s">
        <v>15</v>
      </c>
      <c r="F530" s="1" t="s">
        <v>32</v>
      </c>
      <c r="G530" s="2">
        <v>45149</v>
      </c>
      <c r="H530">
        <v>6</v>
      </c>
      <c r="I530">
        <v>33899</v>
      </c>
      <c r="J530" s="1" t="s">
        <v>24</v>
      </c>
    </row>
    <row r="531" spans="1:10" x14ac:dyDescent="0.25">
      <c r="A531">
        <v>530</v>
      </c>
      <c r="B531" s="1" t="s">
        <v>20</v>
      </c>
      <c r="C531">
        <v>50</v>
      </c>
      <c r="D531" s="1" t="s">
        <v>34</v>
      </c>
      <c r="E531" s="1" t="s">
        <v>35</v>
      </c>
      <c r="F531" s="1" t="s">
        <v>16</v>
      </c>
      <c r="G531" s="2">
        <v>45207</v>
      </c>
      <c r="H531">
        <v>4</v>
      </c>
      <c r="I531">
        <v>34083</v>
      </c>
      <c r="J531" s="1" t="s">
        <v>24</v>
      </c>
    </row>
    <row r="532" spans="1:10" x14ac:dyDescent="0.25">
      <c r="A532">
        <v>531</v>
      </c>
      <c r="B532" s="1" t="s">
        <v>13</v>
      </c>
      <c r="C532">
        <v>7</v>
      </c>
      <c r="D532" s="1" t="s">
        <v>45</v>
      </c>
      <c r="E532" s="1" t="s">
        <v>27</v>
      </c>
      <c r="F532" s="1" t="s">
        <v>23</v>
      </c>
      <c r="G532" s="2">
        <v>45004</v>
      </c>
      <c r="H532">
        <v>14</v>
      </c>
      <c r="I532">
        <v>4172</v>
      </c>
      <c r="J532" s="1" t="s">
        <v>24</v>
      </c>
    </row>
    <row r="533" spans="1:10" x14ac:dyDescent="0.25">
      <c r="A533">
        <v>532</v>
      </c>
      <c r="B533" s="1" t="s">
        <v>20</v>
      </c>
      <c r="C533">
        <v>8</v>
      </c>
      <c r="D533" s="1" t="s">
        <v>30</v>
      </c>
      <c r="E533" s="1" t="s">
        <v>27</v>
      </c>
      <c r="F533" s="1" t="s">
        <v>16</v>
      </c>
      <c r="G533" s="2">
        <v>45247</v>
      </c>
      <c r="H533">
        <v>6</v>
      </c>
      <c r="I533">
        <v>47926</v>
      </c>
      <c r="J533" s="1" t="s">
        <v>24</v>
      </c>
    </row>
    <row r="534" spans="1:10" x14ac:dyDescent="0.25">
      <c r="A534">
        <v>533</v>
      </c>
      <c r="B534" s="1" t="s">
        <v>13</v>
      </c>
      <c r="C534">
        <v>65</v>
      </c>
      <c r="D534" s="1" t="s">
        <v>45</v>
      </c>
      <c r="E534" s="1" t="s">
        <v>15</v>
      </c>
      <c r="F534" s="1" t="s">
        <v>23</v>
      </c>
      <c r="G534" s="2">
        <v>45030</v>
      </c>
      <c r="H534">
        <v>3</v>
      </c>
      <c r="I534">
        <v>18663</v>
      </c>
      <c r="J534" s="1" t="s">
        <v>24</v>
      </c>
    </row>
    <row r="535" spans="1:10" x14ac:dyDescent="0.25">
      <c r="A535">
        <v>534</v>
      </c>
      <c r="B535" s="1" t="s">
        <v>13</v>
      </c>
      <c r="C535">
        <v>57</v>
      </c>
      <c r="D535" s="1" t="s">
        <v>21</v>
      </c>
      <c r="E535" s="1" t="s">
        <v>35</v>
      </c>
      <c r="F535" s="1" t="s">
        <v>28</v>
      </c>
      <c r="G535" s="2">
        <v>44967</v>
      </c>
      <c r="H535">
        <v>12</v>
      </c>
      <c r="I535">
        <v>29540</v>
      </c>
      <c r="J535" s="1" t="s">
        <v>24</v>
      </c>
    </row>
    <row r="536" spans="1:10" x14ac:dyDescent="0.25">
      <c r="A536">
        <v>535</v>
      </c>
      <c r="B536" s="1" t="s">
        <v>13</v>
      </c>
      <c r="C536">
        <v>67</v>
      </c>
      <c r="D536" s="1" t="s">
        <v>34</v>
      </c>
      <c r="E536" s="1" t="s">
        <v>22</v>
      </c>
      <c r="F536" s="1" t="s">
        <v>28</v>
      </c>
      <c r="G536" s="2">
        <v>45130</v>
      </c>
      <c r="H536">
        <v>8</v>
      </c>
      <c r="I536">
        <v>21053</v>
      </c>
      <c r="J536" s="1" t="s">
        <v>24</v>
      </c>
    </row>
    <row r="537" spans="1:10" x14ac:dyDescent="0.25">
      <c r="A537">
        <v>536</v>
      </c>
      <c r="B537" s="1" t="s">
        <v>20</v>
      </c>
      <c r="C537">
        <v>88</v>
      </c>
      <c r="D537" s="1" t="s">
        <v>45</v>
      </c>
      <c r="E537" s="1" t="s">
        <v>15</v>
      </c>
      <c r="F537" s="1" t="s">
        <v>28</v>
      </c>
      <c r="G537" s="2">
        <v>45060</v>
      </c>
      <c r="H537">
        <v>10</v>
      </c>
      <c r="I537">
        <v>13085</v>
      </c>
      <c r="J537" s="1" t="s">
        <v>24</v>
      </c>
    </row>
    <row r="538" spans="1:10" x14ac:dyDescent="0.25">
      <c r="A538">
        <v>537</v>
      </c>
      <c r="B538" s="1" t="s">
        <v>20</v>
      </c>
      <c r="C538">
        <v>87</v>
      </c>
      <c r="D538" s="1" t="s">
        <v>30</v>
      </c>
      <c r="E538" s="1" t="s">
        <v>15</v>
      </c>
      <c r="F538" s="1" t="s">
        <v>32</v>
      </c>
      <c r="G538" s="2">
        <v>45081</v>
      </c>
      <c r="H538">
        <v>14</v>
      </c>
      <c r="I538">
        <v>32564</v>
      </c>
      <c r="J538" s="1" t="s">
        <v>24</v>
      </c>
    </row>
    <row r="539" spans="1:10" x14ac:dyDescent="0.25">
      <c r="A539">
        <v>538</v>
      </c>
      <c r="B539" s="1" t="s">
        <v>13</v>
      </c>
      <c r="C539">
        <v>59</v>
      </c>
      <c r="D539" s="1" t="s">
        <v>45</v>
      </c>
      <c r="E539" s="1" t="s">
        <v>27</v>
      </c>
      <c r="F539" s="1" t="s">
        <v>32</v>
      </c>
      <c r="G539" s="2">
        <v>44985</v>
      </c>
      <c r="H539">
        <v>13</v>
      </c>
      <c r="I539">
        <v>26209</v>
      </c>
      <c r="J539" s="1" t="s">
        <v>24</v>
      </c>
    </row>
    <row r="540" spans="1:10" x14ac:dyDescent="0.25">
      <c r="A540">
        <v>539</v>
      </c>
      <c r="B540" s="1" t="s">
        <v>13</v>
      </c>
      <c r="C540">
        <v>72</v>
      </c>
      <c r="D540" s="1" t="s">
        <v>37</v>
      </c>
      <c r="E540" s="1" t="s">
        <v>15</v>
      </c>
      <c r="F540" s="1" t="s">
        <v>23</v>
      </c>
      <c r="G540" s="2">
        <v>45044</v>
      </c>
      <c r="H540">
        <v>13</v>
      </c>
      <c r="I540">
        <v>5981</v>
      </c>
      <c r="J540" s="1" t="s">
        <v>24</v>
      </c>
    </row>
    <row r="541" spans="1:10" x14ac:dyDescent="0.25">
      <c r="A541">
        <v>540</v>
      </c>
      <c r="B541" s="1" t="s">
        <v>20</v>
      </c>
      <c r="C541">
        <v>54</v>
      </c>
      <c r="D541" s="1" t="s">
        <v>30</v>
      </c>
      <c r="E541" s="1" t="s">
        <v>15</v>
      </c>
      <c r="F541" s="1" t="s">
        <v>28</v>
      </c>
      <c r="G541" s="2">
        <v>45257</v>
      </c>
      <c r="H541">
        <v>2</v>
      </c>
      <c r="I541">
        <v>23153</v>
      </c>
      <c r="J541" s="1" t="s">
        <v>24</v>
      </c>
    </row>
    <row r="542" spans="1:10" x14ac:dyDescent="0.25">
      <c r="A542">
        <v>541</v>
      </c>
      <c r="B542" s="1" t="s">
        <v>13</v>
      </c>
      <c r="C542">
        <v>67</v>
      </c>
      <c r="D542" s="1" t="s">
        <v>21</v>
      </c>
      <c r="E542" s="1" t="s">
        <v>15</v>
      </c>
      <c r="F542" s="1" t="s">
        <v>32</v>
      </c>
      <c r="G542" s="2">
        <v>45058</v>
      </c>
      <c r="H542">
        <v>5</v>
      </c>
      <c r="I542">
        <v>7247</v>
      </c>
      <c r="J542" s="1" t="s">
        <v>24</v>
      </c>
    </row>
    <row r="543" spans="1:10" x14ac:dyDescent="0.25">
      <c r="A543">
        <v>542</v>
      </c>
      <c r="B543" s="1" t="s">
        <v>20</v>
      </c>
      <c r="C543">
        <v>51</v>
      </c>
      <c r="D543" s="1" t="s">
        <v>34</v>
      </c>
      <c r="E543" s="1" t="s">
        <v>27</v>
      </c>
      <c r="F543" s="1" t="s">
        <v>28</v>
      </c>
      <c r="G543" s="2">
        <v>45282</v>
      </c>
      <c r="H543">
        <v>1</v>
      </c>
      <c r="I543">
        <v>12553</v>
      </c>
      <c r="J543" s="1" t="s">
        <v>24</v>
      </c>
    </row>
    <row r="544" spans="1:10" x14ac:dyDescent="0.25">
      <c r="A544">
        <v>543</v>
      </c>
      <c r="B544" s="1" t="s">
        <v>13</v>
      </c>
      <c r="C544">
        <v>8</v>
      </c>
      <c r="D544" s="1" t="s">
        <v>45</v>
      </c>
      <c r="E544" s="1" t="s">
        <v>22</v>
      </c>
      <c r="F544" s="1" t="s">
        <v>32</v>
      </c>
      <c r="G544" s="2">
        <v>45131</v>
      </c>
      <c r="H544">
        <v>6</v>
      </c>
      <c r="I544">
        <v>22811</v>
      </c>
      <c r="J544" s="1" t="s">
        <v>24</v>
      </c>
    </row>
    <row r="545" spans="1:10" x14ac:dyDescent="0.25">
      <c r="A545">
        <v>544</v>
      </c>
      <c r="B545" s="1" t="s">
        <v>20</v>
      </c>
      <c r="C545">
        <v>34</v>
      </c>
      <c r="D545" s="1" t="s">
        <v>30</v>
      </c>
      <c r="E545" s="1" t="s">
        <v>22</v>
      </c>
      <c r="F545" s="1" t="s">
        <v>16</v>
      </c>
      <c r="G545" s="2">
        <v>45257</v>
      </c>
      <c r="H545">
        <v>2</v>
      </c>
      <c r="I545">
        <v>31845</v>
      </c>
      <c r="J545" s="1" t="s">
        <v>24</v>
      </c>
    </row>
    <row r="546" spans="1:10" x14ac:dyDescent="0.25">
      <c r="A546">
        <v>545</v>
      </c>
      <c r="B546" s="1" t="s">
        <v>13</v>
      </c>
      <c r="C546">
        <v>35</v>
      </c>
      <c r="D546" s="1" t="s">
        <v>37</v>
      </c>
      <c r="E546" s="1" t="s">
        <v>15</v>
      </c>
      <c r="F546" s="1" t="s">
        <v>16</v>
      </c>
      <c r="G546" s="2">
        <v>45221</v>
      </c>
      <c r="H546">
        <v>4</v>
      </c>
      <c r="I546">
        <v>8135</v>
      </c>
      <c r="J546" s="1" t="s">
        <v>24</v>
      </c>
    </row>
    <row r="547" spans="1:10" x14ac:dyDescent="0.25">
      <c r="A547">
        <v>546</v>
      </c>
      <c r="B547" s="1" t="s">
        <v>20</v>
      </c>
      <c r="C547">
        <v>88</v>
      </c>
      <c r="D547" s="1" t="s">
        <v>30</v>
      </c>
      <c r="E547" s="1" t="s">
        <v>27</v>
      </c>
      <c r="F547" s="1" t="s">
        <v>28</v>
      </c>
      <c r="G547" s="2">
        <v>44969</v>
      </c>
      <c r="H547">
        <v>6</v>
      </c>
      <c r="I547">
        <v>7573</v>
      </c>
      <c r="J547" s="1" t="s">
        <v>24</v>
      </c>
    </row>
    <row r="548" spans="1:10" x14ac:dyDescent="0.25">
      <c r="A548">
        <v>547</v>
      </c>
      <c r="B548" s="1" t="s">
        <v>13</v>
      </c>
      <c r="C548">
        <v>78</v>
      </c>
      <c r="D548" s="1" t="s">
        <v>14</v>
      </c>
      <c r="E548" s="1" t="s">
        <v>22</v>
      </c>
      <c r="F548" s="1" t="s">
        <v>23</v>
      </c>
      <c r="G548" s="2">
        <v>45038</v>
      </c>
      <c r="H548">
        <v>10</v>
      </c>
      <c r="I548">
        <v>15731</v>
      </c>
      <c r="J548" s="1" t="s">
        <v>39</v>
      </c>
    </row>
    <row r="549" spans="1:10" x14ac:dyDescent="0.25">
      <c r="A549">
        <v>548</v>
      </c>
      <c r="B549" s="1" t="s">
        <v>20</v>
      </c>
      <c r="C549">
        <v>32</v>
      </c>
      <c r="D549" s="1" t="s">
        <v>37</v>
      </c>
      <c r="E549" s="1" t="s">
        <v>22</v>
      </c>
      <c r="F549" s="1" t="s">
        <v>32</v>
      </c>
      <c r="G549" s="2">
        <v>44963</v>
      </c>
      <c r="H549">
        <v>11</v>
      </c>
      <c r="I549">
        <v>9189</v>
      </c>
      <c r="J549" s="1" t="s">
        <v>24</v>
      </c>
    </row>
    <row r="550" spans="1:10" x14ac:dyDescent="0.25">
      <c r="A550">
        <v>549</v>
      </c>
      <c r="B550" s="1" t="s">
        <v>20</v>
      </c>
      <c r="C550">
        <v>46</v>
      </c>
      <c r="D550" s="1" t="s">
        <v>21</v>
      </c>
      <c r="E550" s="1" t="s">
        <v>22</v>
      </c>
      <c r="F550" s="1" t="s">
        <v>32</v>
      </c>
      <c r="G550" s="2">
        <v>45044</v>
      </c>
      <c r="H550">
        <v>8</v>
      </c>
      <c r="I550">
        <v>16541</v>
      </c>
      <c r="J550" s="1" t="s">
        <v>17</v>
      </c>
    </row>
    <row r="551" spans="1:10" x14ac:dyDescent="0.25">
      <c r="A551">
        <v>550</v>
      </c>
      <c r="B551" s="1" t="s">
        <v>13</v>
      </c>
      <c r="C551">
        <v>16</v>
      </c>
      <c r="D551" s="1" t="s">
        <v>34</v>
      </c>
      <c r="E551" s="1" t="s">
        <v>27</v>
      </c>
      <c r="F551" s="1" t="s">
        <v>16</v>
      </c>
      <c r="G551" s="2">
        <v>45262</v>
      </c>
      <c r="H551">
        <v>12</v>
      </c>
      <c r="I551">
        <v>45646</v>
      </c>
      <c r="J551" s="1" t="s">
        <v>24</v>
      </c>
    </row>
    <row r="552" spans="1:10" x14ac:dyDescent="0.25">
      <c r="A552">
        <v>551</v>
      </c>
      <c r="B552" s="1" t="s">
        <v>13</v>
      </c>
      <c r="C552">
        <v>68</v>
      </c>
      <c r="D552" s="1" t="s">
        <v>21</v>
      </c>
      <c r="E552" s="1" t="s">
        <v>27</v>
      </c>
      <c r="F552" s="1" t="s">
        <v>16</v>
      </c>
      <c r="G552" s="2">
        <v>44994</v>
      </c>
      <c r="H552">
        <v>8</v>
      </c>
      <c r="I552">
        <v>13087</v>
      </c>
      <c r="J552" s="1" t="s">
        <v>24</v>
      </c>
    </row>
    <row r="553" spans="1:10" x14ac:dyDescent="0.25">
      <c r="A553">
        <v>552</v>
      </c>
      <c r="B553" s="1" t="s">
        <v>20</v>
      </c>
      <c r="C553">
        <v>37</v>
      </c>
      <c r="D553" s="1" t="s">
        <v>45</v>
      </c>
      <c r="E553" s="1" t="s">
        <v>15</v>
      </c>
      <c r="F553" s="1" t="s">
        <v>23</v>
      </c>
      <c r="G553" s="2">
        <v>45054</v>
      </c>
      <c r="H553">
        <v>11</v>
      </c>
      <c r="I553">
        <v>48435</v>
      </c>
      <c r="J553" s="1" t="s">
        <v>24</v>
      </c>
    </row>
    <row r="554" spans="1:10" x14ac:dyDescent="0.25">
      <c r="A554">
        <v>553</v>
      </c>
      <c r="B554" s="1" t="s">
        <v>13</v>
      </c>
      <c r="C554">
        <v>54</v>
      </c>
      <c r="D554" s="1" t="s">
        <v>30</v>
      </c>
      <c r="E554" s="1" t="s">
        <v>31</v>
      </c>
      <c r="F554" s="1" t="s">
        <v>23</v>
      </c>
      <c r="G554" s="2">
        <v>45123</v>
      </c>
      <c r="H554">
        <v>6</v>
      </c>
      <c r="I554">
        <v>4776</v>
      </c>
      <c r="J554" s="1" t="s">
        <v>24</v>
      </c>
    </row>
    <row r="555" spans="1:10" x14ac:dyDescent="0.25">
      <c r="A555">
        <v>554</v>
      </c>
      <c r="B555" s="1" t="s">
        <v>20</v>
      </c>
      <c r="C555">
        <v>85</v>
      </c>
      <c r="D555" s="1" t="s">
        <v>14</v>
      </c>
      <c r="E555" s="1" t="s">
        <v>22</v>
      </c>
      <c r="F555" s="1" t="s">
        <v>23</v>
      </c>
      <c r="G555" s="2">
        <v>45229</v>
      </c>
      <c r="H555">
        <v>4</v>
      </c>
      <c r="I555">
        <v>44079</v>
      </c>
      <c r="J555" s="1" t="s">
        <v>24</v>
      </c>
    </row>
    <row r="556" spans="1:10" x14ac:dyDescent="0.25">
      <c r="A556">
        <v>555</v>
      </c>
      <c r="B556" s="1" t="s">
        <v>13</v>
      </c>
      <c r="C556">
        <v>14</v>
      </c>
      <c r="D556" s="1" t="s">
        <v>37</v>
      </c>
      <c r="E556" s="1" t="s">
        <v>31</v>
      </c>
      <c r="F556" s="1" t="s">
        <v>28</v>
      </c>
      <c r="G556" s="2">
        <v>45236</v>
      </c>
      <c r="H556">
        <v>8</v>
      </c>
      <c r="I556">
        <v>29564</v>
      </c>
      <c r="J556" s="1" t="s">
        <v>24</v>
      </c>
    </row>
    <row r="557" spans="1:10" x14ac:dyDescent="0.25">
      <c r="A557">
        <v>556</v>
      </c>
      <c r="B557" s="1" t="s">
        <v>20</v>
      </c>
      <c r="C557">
        <v>55</v>
      </c>
      <c r="D557" s="1" t="s">
        <v>37</v>
      </c>
      <c r="E557" s="1" t="s">
        <v>27</v>
      </c>
      <c r="F557" s="1" t="s">
        <v>16</v>
      </c>
      <c r="G557" s="2">
        <v>45203</v>
      </c>
      <c r="H557">
        <v>13</v>
      </c>
      <c r="I557">
        <v>30835</v>
      </c>
      <c r="J557" s="1" t="s">
        <v>24</v>
      </c>
    </row>
    <row r="558" spans="1:10" x14ac:dyDescent="0.25">
      <c r="A558">
        <v>557</v>
      </c>
      <c r="B558" s="1" t="s">
        <v>20</v>
      </c>
      <c r="C558">
        <v>48</v>
      </c>
      <c r="D558" s="1" t="s">
        <v>30</v>
      </c>
      <c r="E558" s="1" t="s">
        <v>27</v>
      </c>
      <c r="F558" s="1" t="s">
        <v>28</v>
      </c>
      <c r="G558" s="2">
        <v>44949</v>
      </c>
      <c r="H558">
        <v>8</v>
      </c>
      <c r="I558">
        <v>9697</v>
      </c>
      <c r="J558" s="1" t="s">
        <v>24</v>
      </c>
    </row>
    <row r="559" spans="1:10" x14ac:dyDescent="0.25">
      <c r="A559">
        <v>558</v>
      </c>
      <c r="B559" s="1" t="s">
        <v>20</v>
      </c>
      <c r="C559">
        <v>82</v>
      </c>
      <c r="D559" s="1" t="s">
        <v>14</v>
      </c>
      <c r="E559" s="1" t="s">
        <v>27</v>
      </c>
      <c r="F559" s="1" t="s">
        <v>16</v>
      </c>
      <c r="G559" s="2">
        <v>45001</v>
      </c>
      <c r="H559">
        <v>10</v>
      </c>
      <c r="I559">
        <v>16629</v>
      </c>
      <c r="J559" s="1" t="s">
        <v>24</v>
      </c>
    </row>
    <row r="560" spans="1:10" x14ac:dyDescent="0.25">
      <c r="A560">
        <v>559</v>
      </c>
      <c r="B560" s="1" t="s">
        <v>20</v>
      </c>
      <c r="C560">
        <v>7</v>
      </c>
      <c r="D560" s="1" t="s">
        <v>30</v>
      </c>
      <c r="E560" s="1" t="s">
        <v>31</v>
      </c>
      <c r="F560" s="1" t="s">
        <v>16</v>
      </c>
      <c r="G560" s="2">
        <v>45180</v>
      </c>
      <c r="H560">
        <v>14</v>
      </c>
      <c r="I560">
        <v>10386</v>
      </c>
      <c r="J560" s="1" t="s">
        <v>24</v>
      </c>
    </row>
    <row r="561" spans="1:10" x14ac:dyDescent="0.25">
      <c r="A561">
        <v>560</v>
      </c>
      <c r="B561" s="1" t="s">
        <v>20</v>
      </c>
      <c r="C561">
        <v>74</v>
      </c>
      <c r="D561" s="1" t="s">
        <v>45</v>
      </c>
      <c r="E561" s="1" t="s">
        <v>27</v>
      </c>
      <c r="F561" s="1" t="s">
        <v>32</v>
      </c>
      <c r="G561" s="2">
        <v>44989</v>
      </c>
      <c r="H561">
        <v>1</v>
      </c>
      <c r="I561">
        <v>19046</v>
      </c>
      <c r="J561" s="1" t="s">
        <v>24</v>
      </c>
    </row>
    <row r="562" spans="1:10" x14ac:dyDescent="0.25">
      <c r="A562">
        <v>561</v>
      </c>
      <c r="B562" s="1" t="s">
        <v>20</v>
      </c>
      <c r="C562">
        <v>7</v>
      </c>
      <c r="D562" s="1" t="s">
        <v>21</v>
      </c>
      <c r="E562" s="1" t="s">
        <v>15</v>
      </c>
      <c r="F562" s="1" t="s">
        <v>16</v>
      </c>
      <c r="G562" s="2">
        <v>45163</v>
      </c>
      <c r="H562">
        <v>4</v>
      </c>
      <c r="I562">
        <v>10044</v>
      </c>
      <c r="J562" s="1" t="s">
        <v>24</v>
      </c>
    </row>
    <row r="563" spans="1:10" x14ac:dyDescent="0.25">
      <c r="A563">
        <v>562</v>
      </c>
      <c r="B563" s="1" t="s">
        <v>13</v>
      </c>
      <c r="C563">
        <v>33</v>
      </c>
      <c r="D563" s="1" t="s">
        <v>37</v>
      </c>
      <c r="E563" s="1" t="s">
        <v>27</v>
      </c>
      <c r="F563" s="1" t="s">
        <v>16</v>
      </c>
      <c r="G563" s="2">
        <v>45048</v>
      </c>
      <c r="H563">
        <v>4</v>
      </c>
      <c r="I563">
        <v>11615</v>
      </c>
      <c r="J563" s="1" t="s">
        <v>39</v>
      </c>
    </row>
    <row r="564" spans="1:10" x14ac:dyDescent="0.25">
      <c r="A564">
        <v>563</v>
      </c>
      <c r="B564" s="1" t="s">
        <v>13</v>
      </c>
      <c r="C564">
        <v>23</v>
      </c>
      <c r="D564" s="1" t="s">
        <v>45</v>
      </c>
      <c r="E564" s="1" t="s">
        <v>35</v>
      </c>
      <c r="F564" s="1" t="s">
        <v>28</v>
      </c>
      <c r="G564" s="2">
        <v>45123</v>
      </c>
      <c r="H564">
        <v>7</v>
      </c>
      <c r="I564">
        <v>49802</v>
      </c>
      <c r="J564" s="1" t="s">
        <v>39</v>
      </c>
    </row>
    <row r="565" spans="1:10" x14ac:dyDescent="0.25">
      <c r="A565">
        <v>564</v>
      </c>
      <c r="B565" s="1" t="s">
        <v>13</v>
      </c>
      <c r="C565">
        <v>85</v>
      </c>
      <c r="D565" s="1" t="s">
        <v>21</v>
      </c>
      <c r="E565" s="1" t="s">
        <v>31</v>
      </c>
      <c r="F565" s="1" t="s">
        <v>16</v>
      </c>
      <c r="G565" s="2">
        <v>45055</v>
      </c>
      <c r="H565">
        <v>14</v>
      </c>
      <c r="I565">
        <v>7060</v>
      </c>
      <c r="J565" s="1" t="s">
        <v>17</v>
      </c>
    </row>
    <row r="566" spans="1:10" x14ac:dyDescent="0.25">
      <c r="A566">
        <v>565</v>
      </c>
      <c r="B566" s="1" t="s">
        <v>20</v>
      </c>
      <c r="C566">
        <v>19</v>
      </c>
      <c r="D566" s="1" t="s">
        <v>45</v>
      </c>
      <c r="E566" s="1" t="s">
        <v>35</v>
      </c>
      <c r="F566" s="1" t="s">
        <v>28</v>
      </c>
      <c r="G566" s="2">
        <v>44957</v>
      </c>
      <c r="H566">
        <v>14</v>
      </c>
      <c r="I566">
        <v>12900</v>
      </c>
      <c r="J566" s="1" t="s">
        <v>24</v>
      </c>
    </row>
    <row r="567" spans="1:10" x14ac:dyDescent="0.25">
      <c r="A567">
        <v>566</v>
      </c>
      <c r="B567" s="1" t="s">
        <v>20</v>
      </c>
      <c r="C567">
        <v>19</v>
      </c>
      <c r="D567" s="1" t="s">
        <v>14</v>
      </c>
      <c r="E567" s="1" t="s">
        <v>27</v>
      </c>
      <c r="F567" s="1" t="s">
        <v>23</v>
      </c>
      <c r="G567" s="2">
        <v>45022</v>
      </c>
      <c r="H567">
        <v>11</v>
      </c>
      <c r="I567">
        <v>7581</v>
      </c>
      <c r="J567" s="1" t="s">
        <v>39</v>
      </c>
    </row>
    <row r="568" spans="1:10" x14ac:dyDescent="0.25">
      <c r="A568">
        <v>567</v>
      </c>
      <c r="B568" s="1" t="s">
        <v>20</v>
      </c>
      <c r="C568">
        <v>36</v>
      </c>
      <c r="D568" s="1" t="s">
        <v>37</v>
      </c>
      <c r="E568" s="1" t="s">
        <v>15</v>
      </c>
      <c r="F568" s="1" t="s">
        <v>16</v>
      </c>
      <c r="G568" s="2">
        <v>45038</v>
      </c>
      <c r="H568">
        <v>7</v>
      </c>
      <c r="I568">
        <v>36782</v>
      </c>
      <c r="J568" s="1" t="s">
        <v>39</v>
      </c>
    </row>
    <row r="569" spans="1:10" x14ac:dyDescent="0.25">
      <c r="A569">
        <v>568</v>
      </c>
      <c r="B569" s="1" t="s">
        <v>20</v>
      </c>
      <c r="C569">
        <v>29</v>
      </c>
      <c r="D569" s="1" t="s">
        <v>30</v>
      </c>
      <c r="E569" s="1" t="s">
        <v>22</v>
      </c>
      <c r="F569" s="1" t="s">
        <v>16</v>
      </c>
      <c r="G569" s="2">
        <v>45003</v>
      </c>
      <c r="H569">
        <v>13</v>
      </c>
      <c r="I569">
        <v>22173</v>
      </c>
      <c r="J569" s="1" t="s">
        <v>24</v>
      </c>
    </row>
    <row r="570" spans="1:10" x14ac:dyDescent="0.25">
      <c r="A570">
        <v>569</v>
      </c>
      <c r="B570" s="1" t="s">
        <v>13</v>
      </c>
      <c r="C570">
        <v>60</v>
      </c>
      <c r="D570" s="1" t="s">
        <v>30</v>
      </c>
      <c r="E570" s="1" t="s">
        <v>27</v>
      </c>
      <c r="F570" s="1" t="s">
        <v>28</v>
      </c>
      <c r="G570" s="2">
        <v>44991</v>
      </c>
      <c r="H570">
        <v>11</v>
      </c>
      <c r="I570">
        <v>14997</v>
      </c>
      <c r="J570" s="1" t="s">
        <v>24</v>
      </c>
    </row>
    <row r="571" spans="1:10" x14ac:dyDescent="0.25">
      <c r="A571">
        <v>570</v>
      </c>
      <c r="B571" s="1" t="s">
        <v>13</v>
      </c>
      <c r="C571">
        <v>82</v>
      </c>
      <c r="D571" s="1" t="s">
        <v>21</v>
      </c>
      <c r="E571" s="1" t="s">
        <v>15</v>
      </c>
      <c r="F571" s="1" t="s">
        <v>23</v>
      </c>
      <c r="G571" s="2">
        <v>45188</v>
      </c>
      <c r="H571">
        <v>8</v>
      </c>
      <c r="I571">
        <v>45403</v>
      </c>
      <c r="J571" s="1" t="s">
        <v>17</v>
      </c>
    </row>
    <row r="572" spans="1:10" x14ac:dyDescent="0.25">
      <c r="A572">
        <v>571</v>
      </c>
      <c r="B572" s="1" t="s">
        <v>20</v>
      </c>
      <c r="C572">
        <v>2</v>
      </c>
      <c r="D572" s="1" t="s">
        <v>34</v>
      </c>
      <c r="E572" s="1" t="s">
        <v>31</v>
      </c>
      <c r="F572" s="1" t="s">
        <v>32</v>
      </c>
      <c r="G572" s="2">
        <v>45010</v>
      </c>
      <c r="H572">
        <v>11</v>
      </c>
      <c r="I572">
        <v>48416</v>
      </c>
      <c r="J572" s="1" t="s">
        <v>24</v>
      </c>
    </row>
    <row r="573" spans="1:10" x14ac:dyDescent="0.25">
      <c r="A573">
        <v>572</v>
      </c>
      <c r="B573" s="1" t="s">
        <v>13</v>
      </c>
      <c r="C573">
        <v>1</v>
      </c>
      <c r="D573" s="1" t="s">
        <v>14</v>
      </c>
      <c r="E573" s="1" t="s">
        <v>35</v>
      </c>
      <c r="F573" s="1" t="s">
        <v>23</v>
      </c>
      <c r="G573" s="2">
        <v>44956</v>
      </c>
      <c r="H573">
        <v>5</v>
      </c>
      <c r="I573">
        <v>9148</v>
      </c>
      <c r="J573" s="1" t="s">
        <v>24</v>
      </c>
    </row>
    <row r="574" spans="1:10" x14ac:dyDescent="0.25">
      <c r="A574">
        <v>573</v>
      </c>
      <c r="B574" s="1" t="s">
        <v>13</v>
      </c>
      <c r="C574">
        <v>47</v>
      </c>
      <c r="D574" s="1" t="s">
        <v>21</v>
      </c>
      <c r="E574" s="1" t="s">
        <v>35</v>
      </c>
      <c r="F574" s="1" t="s">
        <v>28</v>
      </c>
      <c r="G574" s="2">
        <v>45106</v>
      </c>
      <c r="H574">
        <v>7</v>
      </c>
      <c r="I574">
        <v>20748</v>
      </c>
      <c r="J574" s="1" t="s">
        <v>24</v>
      </c>
    </row>
    <row r="575" spans="1:10" x14ac:dyDescent="0.25">
      <c r="A575">
        <v>574</v>
      </c>
      <c r="B575" s="1" t="s">
        <v>20</v>
      </c>
      <c r="C575">
        <v>69</v>
      </c>
      <c r="D575" s="1" t="s">
        <v>34</v>
      </c>
      <c r="E575" s="1" t="s">
        <v>35</v>
      </c>
      <c r="F575" s="1" t="s">
        <v>23</v>
      </c>
      <c r="G575" s="2">
        <v>45136</v>
      </c>
      <c r="H575">
        <v>8</v>
      </c>
      <c r="I575">
        <v>16022</v>
      </c>
      <c r="J575" s="1" t="s">
        <v>24</v>
      </c>
    </row>
    <row r="576" spans="1:10" x14ac:dyDescent="0.25">
      <c r="A576">
        <v>575</v>
      </c>
      <c r="B576" s="1" t="s">
        <v>13</v>
      </c>
      <c r="C576">
        <v>20</v>
      </c>
      <c r="D576" s="1" t="s">
        <v>45</v>
      </c>
      <c r="E576" s="1" t="s">
        <v>31</v>
      </c>
      <c r="F576" s="1" t="s">
        <v>28</v>
      </c>
      <c r="G576" s="2">
        <v>45154</v>
      </c>
      <c r="H576">
        <v>9</v>
      </c>
      <c r="I576">
        <v>22013</v>
      </c>
      <c r="J576" s="1" t="s">
        <v>39</v>
      </c>
    </row>
    <row r="577" spans="1:10" x14ac:dyDescent="0.25">
      <c r="A577">
        <v>576</v>
      </c>
      <c r="B577" s="1" t="s">
        <v>20</v>
      </c>
      <c r="C577">
        <v>11</v>
      </c>
      <c r="D577" s="1" t="s">
        <v>14</v>
      </c>
      <c r="E577" s="1" t="s">
        <v>15</v>
      </c>
      <c r="F577" s="1" t="s">
        <v>28</v>
      </c>
      <c r="G577" s="2">
        <v>44943</v>
      </c>
      <c r="H577">
        <v>3</v>
      </c>
      <c r="I577">
        <v>40687</v>
      </c>
      <c r="J577" s="1" t="s">
        <v>24</v>
      </c>
    </row>
    <row r="578" spans="1:10" x14ac:dyDescent="0.25">
      <c r="A578">
        <v>577</v>
      </c>
      <c r="B578" s="1" t="s">
        <v>13</v>
      </c>
      <c r="C578">
        <v>2</v>
      </c>
      <c r="D578" s="1" t="s">
        <v>45</v>
      </c>
      <c r="E578" s="1" t="s">
        <v>31</v>
      </c>
      <c r="F578" s="1" t="s">
        <v>32</v>
      </c>
      <c r="G578" s="2">
        <v>45197</v>
      </c>
      <c r="H578">
        <v>3</v>
      </c>
      <c r="I578">
        <v>17886</v>
      </c>
      <c r="J578" s="1" t="s">
        <v>24</v>
      </c>
    </row>
    <row r="579" spans="1:10" x14ac:dyDescent="0.25">
      <c r="A579">
        <v>578</v>
      </c>
      <c r="B579" s="1" t="s">
        <v>20</v>
      </c>
      <c r="C579">
        <v>67</v>
      </c>
      <c r="D579" s="1" t="s">
        <v>37</v>
      </c>
      <c r="E579" s="1" t="s">
        <v>35</v>
      </c>
      <c r="F579" s="1" t="s">
        <v>16</v>
      </c>
      <c r="G579" s="2">
        <v>45067</v>
      </c>
      <c r="H579">
        <v>4</v>
      </c>
      <c r="I579">
        <v>27256</v>
      </c>
      <c r="J579" s="1" t="s">
        <v>24</v>
      </c>
    </row>
    <row r="580" spans="1:10" x14ac:dyDescent="0.25">
      <c r="A580">
        <v>579</v>
      </c>
      <c r="B580" s="1" t="s">
        <v>20</v>
      </c>
      <c r="C580">
        <v>87</v>
      </c>
      <c r="D580" s="1" t="s">
        <v>14</v>
      </c>
      <c r="E580" s="1" t="s">
        <v>27</v>
      </c>
      <c r="F580" s="1" t="s">
        <v>28</v>
      </c>
      <c r="G580" s="2">
        <v>45156</v>
      </c>
      <c r="H580">
        <v>5</v>
      </c>
      <c r="I580">
        <v>32005</v>
      </c>
      <c r="J580" s="1" t="s">
        <v>24</v>
      </c>
    </row>
    <row r="581" spans="1:10" x14ac:dyDescent="0.25">
      <c r="A581">
        <v>580</v>
      </c>
      <c r="B581" s="1" t="s">
        <v>20</v>
      </c>
      <c r="C581">
        <v>12</v>
      </c>
      <c r="D581" s="1" t="s">
        <v>34</v>
      </c>
      <c r="E581" s="1" t="s">
        <v>22</v>
      </c>
      <c r="F581" s="1" t="s">
        <v>28</v>
      </c>
      <c r="G581" s="2">
        <v>45261</v>
      </c>
      <c r="H581">
        <v>10</v>
      </c>
      <c r="I581">
        <v>8638</v>
      </c>
      <c r="J581" s="1" t="s">
        <v>24</v>
      </c>
    </row>
    <row r="582" spans="1:10" x14ac:dyDescent="0.25">
      <c r="A582">
        <v>581</v>
      </c>
      <c r="B582" s="1" t="s">
        <v>20</v>
      </c>
      <c r="C582">
        <v>20</v>
      </c>
      <c r="D582" s="1" t="s">
        <v>37</v>
      </c>
      <c r="E582" s="1" t="s">
        <v>31</v>
      </c>
      <c r="F582" s="1" t="s">
        <v>32</v>
      </c>
      <c r="G582" s="2">
        <v>45057</v>
      </c>
      <c r="H582">
        <v>1</v>
      </c>
      <c r="I582">
        <v>39419</v>
      </c>
      <c r="J582" s="1" t="s">
        <v>24</v>
      </c>
    </row>
    <row r="583" spans="1:10" x14ac:dyDescent="0.25">
      <c r="A583">
        <v>582</v>
      </c>
      <c r="B583" s="1" t="s">
        <v>13</v>
      </c>
      <c r="C583">
        <v>5</v>
      </c>
      <c r="D583" s="1" t="s">
        <v>30</v>
      </c>
      <c r="E583" s="1" t="s">
        <v>31</v>
      </c>
      <c r="F583" s="1" t="s">
        <v>28</v>
      </c>
      <c r="G583" s="2">
        <v>45255</v>
      </c>
      <c r="H583">
        <v>7</v>
      </c>
      <c r="I583">
        <v>35377</v>
      </c>
      <c r="J583" s="1" t="s">
        <v>39</v>
      </c>
    </row>
    <row r="584" spans="1:10" x14ac:dyDescent="0.25">
      <c r="A584">
        <v>583</v>
      </c>
      <c r="B584" s="1" t="s">
        <v>20</v>
      </c>
      <c r="C584">
        <v>37</v>
      </c>
      <c r="D584" s="1" t="s">
        <v>34</v>
      </c>
      <c r="E584" s="1" t="s">
        <v>15</v>
      </c>
      <c r="F584" s="1" t="s">
        <v>16</v>
      </c>
      <c r="G584" s="2">
        <v>45076</v>
      </c>
      <c r="H584">
        <v>9</v>
      </c>
      <c r="I584">
        <v>42708</v>
      </c>
      <c r="J584" s="1" t="s">
        <v>24</v>
      </c>
    </row>
    <row r="585" spans="1:10" x14ac:dyDescent="0.25">
      <c r="A585">
        <v>584</v>
      </c>
      <c r="B585" s="1" t="s">
        <v>20</v>
      </c>
      <c r="C585">
        <v>38</v>
      </c>
      <c r="D585" s="1" t="s">
        <v>21</v>
      </c>
      <c r="E585" s="1" t="s">
        <v>15</v>
      </c>
      <c r="F585" s="1" t="s">
        <v>32</v>
      </c>
      <c r="G585" s="2">
        <v>45256</v>
      </c>
      <c r="H585">
        <v>8</v>
      </c>
      <c r="I585">
        <v>45116</v>
      </c>
      <c r="J585" s="1" t="s">
        <v>24</v>
      </c>
    </row>
    <row r="586" spans="1:10" x14ac:dyDescent="0.25">
      <c r="A586">
        <v>585</v>
      </c>
      <c r="B586" s="1" t="s">
        <v>20</v>
      </c>
      <c r="C586">
        <v>9</v>
      </c>
      <c r="D586" s="1" t="s">
        <v>30</v>
      </c>
      <c r="E586" s="1" t="s">
        <v>31</v>
      </c>
      <c r="F586" s="1" t="s">
        <v>16</v>
      </c>
      <c r="G586" s="2">
        <v>45007</v>
      </c>
      <c r="H586">
        <v>5</v>
      </c>
      <c r="I586">
        <v>38634</v>
      </c>
      <c r="J586" s="1" t="s">
        <v>24</v>
      </c>
    </row>
    <row r="587" spans="1:10" x14ac:dyDescent="0.25">
      <c r="A587">
        <v>586</v>
      </c>
      <c r="B587" s="1" t="s">
        <v>13</v>
      </c>
      <c r="C587">
        <v>53</v>
      </c>
      <c r="D587" s="1" t="s">
        <v>30</v>
      </c>
      <c r="E587" s="1" t="s">
        <v>35</v>
      </c>
      <c r="F587" s="1" t="s">
        <v>16</v>
      </c>
      <c r="G587" s="2">
        <v>45157</v>
      </c>
      <c r="H587">
        <v>14</v>
      </c>
      <c r="I587">
        <v>18755</v>
      </c>
      <c r="J587" s="1" t="s">
        <v>24</v>
      </c>
    </row>
    <row r="588" spans="1:10" x14ac:dyDescent="0.25">
      <c r="A588">
        <v>587</v>
      </c>
      <c r="B588" s="1" t="s">
        <v>20</v>
      </c>
      <c r="C588">
        <v>44</v>
      </c>
      <c r="D588" s="1" t="s">
        <v>21</v>
      </c>
      <c r="E588" s="1" t="s">
        <v>22</v>
      </c>
      <c r="F588" s="1" t="s">
        <v>32</v>
      </c>
      <c r="G588" s="2">
        <v>45276</v>
      </c>
      <c r="H588">
        <v>14</v>
      </c>
      <c r="I588">
        <v>25382</v>
      </c>
      <c r="J588" s="1" t="s">
        <v>39</v>
      </c>
    </row>
    <row r="589" spans="1:10" x14ac:dyDescent="0.25">
      <c r="A589">
        <v>588</v>
      </c>
      <c r="B589" s="1" t="s">
        <v>13</v>
      </c>
      <c r="C589">
        <v>86</v>
      </c>
      <c r="D589" s="1" t="s">
        <v>14</v>
      </c>
      <c r="E589" s="1" t="s">
        <v>15</v>
      </c>
      <c r="F589" s="1" t="s">
        <v>28</v>
      </c>
      <c r="G589" s="2">
        <v>45227</v>
      </c>
      <c r="H589">
        <v>4</v>
      </c>
      <c r="I589">
        <v>24394</v>
      </c>
      <c r="J589" s="1" t="s">
        <v>39</v>
      </c>
    </row>
    <row r="590" spans="1:10" x14ac:dyDescent="0.25">
      <c r="A590">
        <v>589</v>
      </c>
      <c r="B590" s="1" t="s">
        <v>20</v>
      </c>
      <c r="C590">
        <v>24</v>
      </c>
      <c r="D590" s="1" t="s">
        <v>30</v>
      </c>
      <c r="E590" s="1" t="s">
        <v>35</v>
      </c>
      <c r="F590" s="1" t="s">
        <v>16</v>
      </c>
      <c r="G590" s="2">
        <v>44976</v>
      </c>
      <c r="H590">
        <v>12</v>
      </c>
      <c r="I590">
        <v>4253</v>
      </c>
      <c r="J590" s="1" t="s">
        <v>39</v>
      </c>
    </row>
    <row r="591" spans="1:10" x14ac:dyDescent="0.25">
      <c r="A591">
        <v>590</v>
      </c>
      <c r="B591" s="1" t="s">
        <v>13</v>
      </c>
      <c r="C591">
        <v>81</v>
      </c>
      <c r="D591" s="1" t="s">
        <v>34</v>
      </c>
      <c r="E591" s="1" t="s">
        <v>27</v>
      </c>
      <c r="F591" s="1" t="s">
        <v>16</v>
      </c>
      <c r="G591" s="2">
        <v>45132</v>
      </c>
      <c r="H591">
        <v>7</v>
      </c>
      <c r="I591">
        <v>39710</v>
      </c>
      <c r="J591" s="1" t="s">
        <v>24</v>
      </c>
    </row>
    <row r="592" spans="1:10" x14ac:dyDescent="0.25">
      <c r="A592">
        <v>591</v>
      </c>
      <c r="B592" s="1" t="s">
        <v>13</v>
      </c>
      <c r="C592">
        <v>74</v>
      </c>
      <c r="D592" s="1" t="s">
        <v>37</v>
      </c>
      <c r="E592" s="1" t="s">
        <v>15</v>
      </c>
      <c r="F592" s="1" t="s">
        <v>16</v>
      </c>
      <c r="G592" s="2">
        <v>45003</v>
      </c>
      <c r="H592">
        <v>5</v>
      </c>
      <c r="I592">
        <v>47098</v>
      </c>
      <c r="J592" s="1" t="s">
        <v>24</v>
      </c>
    </row>
    <row r="593" spans="1:10" x14ac:dyDescent="0.25">
      <c r="A593">
        <v>592</v>
      </c>
      <c r="B593" s="1" t="s">
        <v>20</v>
      </c>
      <c r="C593">
        <v>30</v>
      </c>
      <c r="D593" s="1" t="s">
        <v>30</v>
      </c>
      <c r="E593" s="1" t="s">
        <v>35</v>
      </c>
      <c r="F593" s="1" t="s">
        <v>16</v>
      </c>
      <c r="G593" s="2">
        <v>45032</v>
      </c>
      <c r="H593">
        <v>7</v>
      </c>
      <c r="I593">
        <v>2864</v>
      </c>
      <c r="J593" s="1" t="s">
        <v>24</v>
      </c>
    </row>
    <row r="594" spans="1:10" x14ac:dyDescent="0.25">
      <c r="A594">
        <v>593</v>
      </c>
      <c r="B594" s="1" t="s">
        <v>13</v>
      </c>
      <c r="C594">
        <v>59</v>
      </c>
      <c r="D594" s="1" t="s">
        <v>34</v>
      </c>
      <c r="E594" s="1" t="s">
        <v>35</v>
      </c>
      <c r="F594" s="1" t="s">
        <v>32</v>
      </c>
      <c r="G594" s="2">
        <v>45248</v>
      </c>
      <c r="H594">
        <v>12</v>
      </c>
      <c r="I594">
        <v>36036</v>
      </c>
      <c r="J594" s="1" t="s">
        <v>24</v>
      </c>
    </row>
    <row r="595" spans="1:10" x14ac:dyDescent="0.25">
      <c r="A595">
        <v>594</v>
      </c>
      <c r="B595" s="1" t="s">
        <v>20</v>
      </c>
      <c r="C595">
        <v>87</v>
      </c>
      <c r="D595" s="1" t="s">
        <v>45</v>
      </c>
      <c r="E595" s="1" t="s">
        <v>22</v>
      </c>
      <c r="F595" s="1" t="s">
        <v>32</v>
      </c>
      <c r="G595" s="2">
        <v>45100</v>
      </c>
      <c r="H595">
        <v>1</v>
      </c>
      <c r="I595">
        <v>42222</v>
      </c>
      <c r="J595" s="1" t="s">
        <v>39</v>
      </c>
    </row>
    <row r="596" spans="1:10" x14ac:dyDescent="0.25">
      <c r="A596">
        <v>595</v>
      </c>
      <c r="B596" s="1" t="s">
        <v>20</v>
      </c>
      <c r="C596">
        <v>81</v>
      </c>
      <c r="D596" s="1" t="s">
        <v>34</v>
      </c>
      <c r="E596" s="1" t="s">
        <v>22</v>
      </c>
      <c r="F596" s="1" t="s">
        <v>23</v>
      </c>
      <c r="G596" s="2">
        <v>44991</v>
      </c>
      <c r="H596">
        <v>1</v>
      </c>
      <c r="I596">
        <v>15666</v>
      </c>
      <c r="J596" s="1" t="s">
        <v>39</v>
      </c>
    </row>
    <row r="597" spans="1:10" x14ac:dyDescent="0.25">
      <c r="A597">
        <v>596</v>
      </c>
      <c r="B597" s="1" t="s">
        <v>20</v>
      </c>
      <c r="C597">
        <v>81</v>
      </c>
      <c r="D597" s="1" t="s">
        <v>37</v>
      </c>
      <c r="E597" s="1" t="s">
        <v>27</v>
      </c>
      <c r="F597" s="1" t="s">
        <v>23</v>
      </c>
      <c r="G597" s="2">
        <v>45131</v>
      </c>
      <c r="H597">
        <v>10</v>
      </c>
      <c r="I597">
        <v>22955</v>
      </c>
      <c r="J597" s="1" t="s">
        <v>39</v>
      </c>
    </row>
    <row r="598" spans="1:10" x14ac:dyDescent="0.25">
      <c r="A598">
        <v>597</v>
      </c>
      <c r="B598" s="1" t="s">
        <v>13</v>
      </c>
      <c r="C598">
        <v>14</v>
      </c>
      <c r="D598" s="1" t="s">
        <v>34</v>
      </c>
      <c r="E598" s="1" t="s">
        <v>35</v>
      </c>
      <c r="F598" s="1" t="s">
        <v>16</v>
      </c>
      <c r="G598" s="2">
        <v>45151</v>
      </c>
      <c r="H598">
        <v>14</v>
      </c>
      <c r="I598">
        <v>47138</v>
      </c>
      <c r="J598" s="1" t="s">
        <v>17</v>
      </c>
    </row>
    <row r="599" spans="1:10" x14ac:dyDescent="0.25">
      <c r="A599">
        <v>598</v>
      </c>
      <c r="B599" s="1" t="s">
        <v>13</v>
      </c>
      <c r="C599">
        <v>9</v>
      </c>
      <c r="D599" s="1" t="s">
        <v>21</v>
      </c>
      <c r="E599" s="1" t="s">
        <v>35</v>
      </c>
      <c r="F599" s="1" t="s">
        <v>28</v>
      </c>
      <c r="G599" s="2">
        <v>45139</v>
      </c>
      <c r="H599">
        <v>13</v>
      </c>
      <c r="I599">
        <v>39997</v>
      </c>
      <c r="J599" s="1" t="s">
        <v>39</v>
      </c>
    </row>
    <row r="600" spans="1:10" x14ac:dyDescent="0.25">
      <c r="A600">
        <v>599</v>
      </c>
      <c r="B600" s="1" t="s">
        <v>20</v>
      </c>
      <c r="C600">
        <v>40</v>
      </c>
      <c r="D600" s="1" t="s">
        <v>37</v>
      </c>
      <c r="E600" s="1" t="s">
        <v>22</v>
      </c>
      <c r="F600" s="1" t="s">
        <v>16</v>
      </c>
      <c r="G600" s="2">
        <v>45036</v>
      </c>
      <c r="H600">
        <v>3</v>
      </c>
      <c r="I600">
        <v>18309</v>
      </c>
      <c r="J600" s="1" t="s">
        <v>24</v>
      </c>
    </row>
    <row r="601" spans="1:10" x14ac:dyDescent="0.25">
      <c r="A601">
        <v>600</v>
      </c>
      <c r="B601" s="1" t="s">
        <v>20</v>
      </c>
      <c r="C601">
        <v>66</v>
      </c>
      <c r="D601" s="1" t="s">
        <v>14</v>
      </c>
      <c r="E601" s="1" t="s">
        <v>15</v>
      </c>
      <c r="F601" s="1" t="s">
        <v>28</v>
      </c>
      <c r="G601" s="2">
        <v>45133</v>
      </c>
      <c r="H601">
        <v>14</v>
      </c>
      <c r="I601">
        <v>6054</v>
      </c>
      <c r="J601" s="1" t="s">
        <v>24</v>
      </c>
    </row>
    <row r="602" spans="1:10" x14ac:dyDescent="0.25">
      <c r="A602">
        <v>601</v>
      </c>
      <c r="B602" s="1" t="s">
        <v>13</v>
      </c>
      <c r="C602">
        <v>25</v>
      </c>
      <c r="D602" s="1" t="s">
        <v>45</v>
      </c>
      <c r="E602" s="1" t="s">
        <v>15</v>
      </c>
      <c r="F602" s="1" t="s">
        <v>16</v>
      </c>
      <c r="G602" s="2">
        <v>45173</v>
      </c>
      <c r="H602">
        <v>11</v>
      </c>
      <c r="I602">
        <v>2935</v>
      </c>
      <c r="J602" s="1" t="s">
        <v>24</v>
      </c>
    </row>
    <row r="603" spans="1:10" x14ac:dyDescent="0.25">
      <c r="A603">
        <v>602</v>
      </c>
      <c r="B603" s="1" t="s">
        <v>20</v>
      </c>
      <c r="C603">
        <v>73</v>
      </c>
      <c r="D603" s="1" t="s">
        <v>21</v>
      </c>
      <c r="E603" s="1" t="s">
        <v>31</v>
      </c>
      <c r="F603" s="1" t="s">
        <v>23</v>
      </c>
      <c r="G603" s="2">
        <v>45135</v>
      </c>
      <c r="H603">
        <v>2</v>
      </c>
      <c r="I603">
        <v>46940</v>
      </c>
      <c r="J603" s="1" t="s">
        <v>24</v>
      </c>
    </row>
    <row r="604" spans="1:10" x14ac:dyDescent="0.25">
      <c r="A604">
        <v>603</v>
      </c>
      <c r="B604" s="1" t="s">
        <v>20</v>
      </c>
      <c r="C604">
        <v>22</v>
      </c>
      <c r="D604" s="1" t="s">
        <v>14</v>
      </c>
      <c r="E604" s="1" t="s">
        <v>22</v>
      </c>
      <c r="F604" s="1" t="s">
        <v>23</v>
      </c>
      <c r="G604" s="2">
        <v>45001</v>
      </c>
      <c r="H604">
        <v>2</v>
      </c>
      <c r="I604">
        <v>24778</v>
      </c>
      <c r="J604" s="1" t="s">
        <v>24</v>
      </c>
    </row>
    <row r="605" spans="1:10" x14ac:dyDescent="0.25">
      <c r="A605">
        <v>604</v>
      </c>
      <c r="B605" s="1" t="s">
        <v>20</v>
      </c>
      <c r="C605">
        <v>4</v>
      </c>
      <c r="D605" s="1" t="s">
        <v>34</v>
      </c>
      <c r="E605" s="1" t="s">
        <v>31</v>
      </c>
      <c r="F605" s="1" t="s">
        <v>28</v>
      </c>
      <c r="G605" s="2">
        <v>45263</v>
      </c>
      <c r="H605">
        <v>7</v>
      </c>
      <c r="I605">
        <v>45298</v>
      </c>
      <c r="J605" s="1" t="s">
        <v>24</v>
      </c>
    </row>
    <row r="606" spans="1:10" x14ac:dyDescent="0.25">
      <c r="A606">
        <v>605</v>
      </c>
      <c r="B606" s="1" t="s">
        <v>13</v>
      </c>
      <c r="C606">
        <v>26</v>
      </c>
      <c r="D606" s="1" t="s">
        <v>37</v>
      </c>
      <c r="E606" s="1" t="s">
        <v>22</v>
      </c>
      <c r="F606" s="1" t="s">
        <v>16</v>
      </c>
      <c r="G606" s="2">
        <v>45229</v>
      </c>
      <c r="H606">
        <v>12</v>
      </c>
      <c r="I606">
        <v>18709</v>
      </c>
      <c r="J606" s="1" t="s">
        <v>39</v>
      </c>
    </row>
    <row r="607" spans="1:10" x14ac:dyDescent="0.25">
      <c r="A607">
        <v>606</v>
      </c>
      <c r="B607" s="1" t="s">
        <v>13</v>
      </c>
      <c r="C607">
        <v>58</v>
      </c>
      <c r="D607" s="1" t="s">
        <v>45</v>
      </c>
      <c r="E607" s="1" t="s">
        <v>27</v>
      </c>
      <c r="F607" s="1" t="s">
        <v>28</v>
      </c>
      <c r="G607" s="2">
        <v>45094</v>
      </c>
      <c r="H607">
        <v>10</v>
      </c>
      <c r="I607">
        <v>11726</v>
      </c>
      <c r="J607" s="1" t="s">
        <v>24</v>
      </c>
    </row>
    <row r="608" spans="1:10" x14ac:dyDescent="0.25">
      <c r="A608">
        <v>607</v>
      </c>
      <c r="B608" s="1" t="s">
        <v>13</v>
      </c>
      <c r="C608">
        <v>29</v>
      </c>
      <c r="D608" s="1" t="s">
        <v>21</v>
      </c>
      <c r="E608" s="1" t="s">
        <v>35</v>
      </c>
      <c r="F608" s="1" t="s">
        <v>23</v>
      </c>
      <c r="G608" s="2">
        <v>45087</v>
      </c>
      <c r="H608">
        <v>2</v>
      </c>
      <c r="I608">
        <v>42542</v>
      </c>
      <c r="J608" s="1" t="s">
        <v>39</v>
      </c>
    </row>
    <row r="609" spans="1:10" x14ac:dyDescent="0.25">
      <c r="A609">
        <v>608</v>
      </c>
      <c r="B609" s="1" t="s">
        <v>20</v>
      </c>
      <c r="C609">
        <v>87</v>
      </c>
      <c r="D609" s="1" t="s">
        <v>14</v>
      </c>
      <c r="E609" s="1" t="s">
        <v>27</v>
      </c>
      <c r="F609" s="1" t="s">
        <v>16</v>
      </c>
      <c r="G609" s="2">
        <v>45110</v>
      </c>
      <c r="H609">
        <v>11</v>
      </c>
      <c r="I609">
        <v>22245</v>
      </c>
      <c r="J609" s="1" t="s">
        <v>39</v>
      </c>
    </row>
    <row r="610" spans="1:10" x14ac:dyDescent="0.25">
      <c r="A610">
        <v>609</v>
      </c>
      <c r="B610" s="1" t="s">
        <v>20</v>
      </c>
      <c r="C610">
        <v>37</v>
      </c>
      <c r="D610" s="1" t="s">
        <v>14</v>
      </c>
      <c r="E610" s="1" t="s">
        <v>22</v>
      </c>
      <c r="F610" s="1" t="s">
        <v>16</v>
      </c>
      <c r="G610" s="2">
        <v>45026</v>
      </c>
      <c r="H610">
        <v>4</v>
      </c>
      <c r="I610">
        <v>36753</v>
      </c>
      <c r="J610" s="1" t="s">
        <v>24</v>
      </c>
    </row>
    <row r="611" spans="1:10" x14ac:dyDescent="0.25">
      <c r="A611">
        <v>610</v>
      </c>
      <c r="B611" s="1" t="s">
        <v>20</v>
      </c>
      <c r="C611">
        <v>75</v>
      </c>
      <c r="D611" s="1" t="s">
        <v>45</v>
      </c>
      <c r="E611" s="1" t="s">
        <v>35</v>
      </c>
      <c r="F611" s="1" t="s">
        <v>28</v>
      </c>
      <c r="G611" s="2">
        <v>45047</v>
      </c>
      <c r="H611">
        <v>2</v>
      </c>
      <c r="I611">
        <v>16252</v>
      </c>
      <c r="J611" s="1" t="s">
        <v>24</v>
      </c>
    </row>
    <row r="612" spans="1:10" x14ac:dyDescent="0.25">
      <c r="A612">
        <v>611</v>
      </c>
      <c r="B612" s="1" t="s">
        <v>13</v>
      </c>
      <c r="C612">
        <v>70</v>
      </c>
      <c r="D612" s="1" t="s">
        <v>34</v>
      </c>
      <c r="E612" s="1" t="s">
        <v>15</v>
      </c>
      <c r="F612" s="1" t="s">
        <v>32</v>
      </c>
      <c r="G612" s="2">
        <v>45041</v>
      </c>
      <c r="H612">
        <v>6</v>
      </c>
      <c r="I612">
        <v>23316</v>
      </c>
      <c r="J612" s="1" t="s">
        <v>24</v>
      </c>
    </row>
    <row r="613" spans="1:10" x14ac:dyDescent="0.25">
      <c r="A613">
        <v>612</v>
      </c>
      <c r="B613" s="1" t="s">
        <v>20</v>
      </c>
      <c r="C613">
        <v>18</v>
      </c>
      <c r="D613" s="1" t="s">
        <v>45</v>
      </c>
      <c r="E613" s="1" t="s">
        <v>15</v>
      </c>
      <c r="F613" s="1" t="s">
        <v>28</v>
      </c>
      <c r="G613" s="2">
        <v>45178</v>
      </c>
      <c r="H613">
        <v>8</v>
      </c>
      <c r="I613">
        <v>39371</v>
      </c>
      <c r="J613" s="1" t="s">
        <v>39</v>
      </c>
    </row>
    <row r="614" spans="1:10" x14ac:dyDescent="0.25">
      <c r="A614">
        <v>613</v>
      </c>
      <c r="B614" s="1" t="s">
        <v>20</v>
      </c>
      <c r="C614">
        <v>85</v>
      </c>
      <c r="D614" s="1" t="s">
        <v>14</v>
      </c>
      <c r="E614" s="1" t="s">
        <v>31</v>
      </c>
      <c r="F614" s="1" t="s">
        <v>23</v>
      </c>
      <c r="G614" s="2">
        <v>44968</v>
      </c>
      <c r="H614">
        <v>10</v>
      </c>
      <c r="I614">
        <v>21162</v>
      </c>
      <c r="J614" s="1" t="s">
        <v>39</v>
      </c>
    </row>
    <row r="615" spans="1:10" x14ac:dyDescent="0.25">
      <c r="A615">
        <v>614</v>
      </c>
      <c r="B615" s="1" t="s">
        <v>20</v>
      </c>
      <c r="C615">
        <v>42</v>
      </c>
      <c r="D615" s="1" t="s">
        <v>30</v>
      </c>
      <c r="E615" s="1" t="s">
        <v>22</v>
      </c>
      <c r="F615" s="1" t="s">
        <v>23</v>
      </c>
      <c r="G615" s="2">
        <v>45292</v>
      </c>
      <c r="H615">
        <v>4</v>
      </c>
      <c r="I615">
        <v>17960</v>
      </c>
      <c r="J615" s="1" t="s">
        <v>39</v>
      </c>
    </row>
    <row r="616" spans="1:10" x14ac:dyDescent="0.25">
      <c r="A616">
        <v>615</v>
      </c>
      <c r="B616" s="1" t="s">
        <v>20</v>
      </c>
      <c r="C616">
        <v>41</v>
      </c>
      <c r="D616" s="1" t="s">
        <v>21</v>
      </c>
      <c r="E616" s="1" t="s">
        <v>22</v>
      </c>
      <c r="F616" s="1" t="s">
        <v>23</v>
      </c>
      <c r="G616" s="2">
        <v>45229</v>
      </c>
      <c r="H616">
        <v>5</v>
      </c>
      <c r="I616">
        <v>32791</v>
      </c>
      <c r="J616" s="1" t="s">
        <v>24</v>
      </c>
    </row>
    <row r="617" spans="1:10" x14ac:dyDescent="0.25">
      <c r="A617">
        <v>616</v>
      </c>
      <c r="B617" s="1" t="s">
        <v>13</v>
      </c>
      <c r="C617">
        <v>38</v>
      </c>
      <c r="D617" s="1" t="s">
        <v>45</v>
      </c>
      <c r="E617" s="1" t="s">
        <v>15</v>
      </c>
      <c r="F617" s="1" t="s">
        <v>23</v>
      </c>
      <c r="G617" s="2">
        <v>44951</v>
      </c>
      <c r="H617">
        <v>4</v>
      </c>
      <c r="I617">
        <v>44230</v>
      </c>
      <c r="J617" s="1" t="s">
        <v>24</v>
      </c>
    </row>
    <row r="618" spans="1:10" x14ac:dyDescent="0.25">
      <c r="A618">
        <v>617</v>
      </c>
      <c r="B618" s="1" t="s">
        <v>13</v>
      </c>
      <c r="C618">
        <v>34</v>
      </c>
      <c r="D618" s="1" t="s">
        <v>14</v>
      </c>
      <c r="E618" s="1" t="s">
        <v>27</v>
      </c>
      <c r="F618" s="1" t="s">
        <v>23</v>
      </c>
      <c r="G618" s="2">
        <v>45000</v>
      </c>
      <c r="H618">
        <v>3</v>
      </c>
      <c r="I618">
        <v>27216</v>
      </c>
      <c r="J618" s="1" t="s">
        <v>24</v>
      </c>
    </row>
    <row r="619" spans="1:10" x14ac:dyDescent="0.25">
      <c r="A619">
        <v>618</v>
      </c>
      <c r="B619" s="1" t="s">
        <v>20</v>
      </c>
      <c r="C619">
        <v>17</v>
      </c>
      <c r="D619" s="1" t="s">
        <v>34</v>
      </c>
      <c r="E619" s="1" t="s">
        <v>35</v>
      </c>
      <c r="F619" s="1" t="s">
        <v>32</v>
      </c>
      <c r="G619" s="2">
        <v>45276</v>
      </c>
      <c r="H619">
        <v>5</v>
      </c>
      <c r="I619">
        <v>34467</v>
      </c>
      <c r="J619" s="1" t="s">
        <v>39</v>
      </c>
    </row>
    <row r="620" spans="1:10" x14ac:dyDescent="0.25">
      <c r="A620">
        <v>619</v>
      </c>
      <c r="B620" s="1" t="s">
        <v>13</v>
      </c>
      <c r="C620">
        <v>37</v>
      </c>
      <c r="D620" s="1" t="s">
        <v>14</v>
      </c>
      <c r="E620" s="1" t="s">
        <v>27</v>
      </c>
      <c r="F620" s="1" t="s">
        <v>16</v>
      </c>
      <c r="G620" s="2">
        <v>45217</v>
      </c>
      <c r="H620">
        <v>14</v>
      </c>
      <c r="I620">
        <v>48934</v>
      </c>
      <c r="J620" s="1" t="s">
        <v>24</v>
      </c>
    </row>
    <row r="621" spans="1:10" x14ac:dyDescent="0.25">
      <c r="A621">
        <v>620</v>
      </c>
      <c r="B621" s="1" t="s">
        <v>13</v>
      </c>
      <c r="C621">
        <v>25</v>
      </c>
      <c r="D621" s="1" t="s">
        <v>34</v>
      </c>
      <c r="E621" s="1" t="s">
        <v>27</v>
      </c>
      <c r="F621" s="1" t="s">
        <v>28</v>
      </c>
      <c r="G621" s="2">
        <v>45094</v>
      </c>
      <c r="H621">
        <v>9</v>
      </c>
      <c r="I621">
        <v>9754</v>
      </c>
      <c r="J621" s="1" t="s">
        <v>24</v>
      </c>
    </row>
    <row r="622" spans="1:10" x14ac:dyDescent="0.25">
      <c r="A622">
        <v>621</v>
      </c>
      <c r="B622" s="1" t="s">
        <v>20</v>
      </c>
      <c r="C622">
        <v>76</v>
      </c>
      <c r="D622" s="1" t="s">
        <v>45</v>
      </c>
      <c r="E622" s="1" t="s">
        <v>15</v>
      </c>
      <c r="F622" s="1" t="s">
        <v>28</v>
      </c>
      <c r="G622" s="2">
        <v>45048</v>
      </c>
      <c r="H622">
        <v>8</v>
      </c>
      <c r="I622">
        <v>49014</v>
      </c>
      <c r="J622" s="1" t="s">
        <v>24</v>
      </c>
    </row>
    <row r="623" spans="1:10" x14ac:dyDescent="0.25">
      <c r="A623">
        <v>622</v>
      </c>
      <c r="B623" s="1" t="s">
        <v>20</v>
      </c>
      <c r="C623">
        <v>87</v>
      </c>
      <c r="D623" s="1" t="s">
        <v>34</v>
      </c>
      <c r="E623" s="1" t="s">
        <v>15</v>
      </c>
      <c r="F623" s="1" t="s">
        <v>23</v>
      </c>
      <c r="G623" s="2">
        <v>45252</v>
      </c>
      <c r="H623">
        <v>8</v>
      </c>
      <c r="I623">
        <v>6078</v>
      </c>
      <c r="J623" s="1" t="s">
        <v>24</v>
      </c>
    </row>
    <row r="624" spans="1:10" x14ac:dyDescent="0.25">
      <c r="A624">
        <v>623</v>
      </c>
      <c r="B624" s="1" t="s">
        <v>13</v>
      </c>
      <c r="C624">
        <v>86</v>
      </c>
      <c r="D624" s="1" t="s">
        <v>37</v>
      </c>
      <c r="E624" s="1" t="s">
        <v>15</v>
      </c>
      <c r="F624" s="1" t="s">
        <v>28</v>
      </c>
      <c r="G624" s="2">
        <v>45265</v>
      </c>
      <c r="H624">
        <v>8</v>
      </c>
      <c r="I624">
        <v>14853</v>
      </c>
      <c r="J624" s="1" t="s">
        <v>24</v>
      </c>
    </row>
    <row r="625" spans="1:10" x14ac:dyDescent="0.25">
      <c r="A625">
        <v>624</v>
      </c>
      <c r="B625" s="1" t="s">
        <v>20</v>
      </c>
      <c r="C625">
        <v>85</v>
      </c>
      <c r="D625" s="1" t="s">
        <v>37</v>
      </c>
      <c r="E625" s="1" t="s">
        <v>31</v>
      </c>
      <c r="F625" s="1" t="s">
        <v>23</v>
      </c>
      <c r="G625" s="2">
        <v>45198</v>
      </c>
      <c r="H625">
        <v>12</v>
      </c>
      <c r="I625">
        <v>6042</v>
      </c>
      <c r="J625" s="1" t="s">
        <v>24</v>
      </c>
    </row>
    <row r="626" spans="1:10" x14ac:dyDescent="0.25">
      <c r="A626">
        <v>625</v>
      </c>
      <c r="B626" s="1" t="s">
        <v>13</v>
      </c>
      <c r="C626">
        <v>27</v>
      </c>
      <c r="D626" s="1" t="s">
        <v>37</v>
      </c>
      <c r="E626" s="1" t="s">
        <v>27</v>
      </c>
      <c r="F626" s="1" t="s">
        <v>32</v>
      </c>
      <c r="G626" s="2">
        <v>45056</v>
      </c>
      <c r="H626">
        <v>8</v>
      </c>
      <c r="I626">
        <v>16389</v>
      </c>
      <c r="J626" s="1" t="s">
        <v>24</v>
      </c>
    </row>
    <row r="627" spans="1:10" x14ac:dyDescent="0.25">
      <c r="A627">
        <v>626</v>
      </c>
      <c r="B627" s="1" t="s">
        <v>20</v>
      </c>
      <c r="C627">
        <v>57</v>
      </c>
      <c r="D627" s="1" t="s">
        <v>30</v>
      </c>
      <c r="E627" s="1" t="s">
        <v>22</v>
      </c>
      <c r="F627" s="1" t="s">
        <v>32</v>
      </c>
      <c r="G627" s="2">
        <v>45156</v>
      </c>
      <c r="H627">
        <v>7</v>
      </c>
      <c r="I627">
        <v>32425</v>
      </c>
      <c r="J627" s="1" t="s">
        <v>24</v>
      </c>
    </row>
    <row r="628" spans="1:10" x14ac:dyDescent="0.25">
      <c r="A628">
        <v>627</v>
      </c>
      <c r="B628" s="1" t="s">
        <v>13</v>
      </c>
      <c r="C628">
        <v>31</v>
      </c>
      <c r="D628" s="1" t="s">
        <v>45</v>
      </c>
      <c r="E628" s="1" t="s">
        <v>35</v>
      </c>
      <c r="F628" s="1" t="s">
        <v>16</v>
      </c>
      <c r="G628" s="2">
        <v>45101</v>
      </c>
      <c r="H628">
        <v>8</v>
      </c>
      <c r="I628">
        <v>4575</v>
      </c>
      <c r="J628" s="1" t="s">
        <v>39</v>
      </c>
    </row>
    <row r="629" spans="1:10" x14ac:dyDescent="0.25">
      <c r="A629">
        <v>628</v>
      </c>
      <c r="B629" s="1" t="s">
        <v>20</v>
      </c>
      <c r="C629">
        <v>6</v>
      </c>
      <c r="D629" s="1" t="s">
        <v>14</v>
      </c>
      <c r="E629" s="1" t="s">
        <v>31</v>
      </c>
      <c r="F629" s="1" t="s">
        <v>32</v>
      </c>
      <c r="G629" s="2">
        <v>45180</v>
      </c>
      <c r="H629">
        <v>11</v>
      </c>
      <c r="I629">
        <v>41522</v>
      </c>
      <c r="J629" s="1" t="s">
        <v>39</v>
      </c>
    </row>
    <row r="630" spans="1:10" x14ac:dyDescent="0.25">
      <c r="A630">
        <v>629</v>
      </c>
      <c r="B630" s="1" t="s">
        <v>13</v>
      </c>
      <c r="C630">
        <v>40</v>
      </c>
      <c r="D630" s="1" t="s">
        <v>14</v>
      </c>
      <c r="E630" s="1" t="s">
        <v>22</v>
      </c>
      <c r="F630" s="1" t="s">
        <v>32</v>
      </c>
      <c r="G630" s="2">
        <v>45092</v>
      </c>
      <c r="H630">
        <v>14</v>
      </c>
      <c r="I630">
        <v>30179</v>
      </c>
      <c r="J630" s="1" t="s">
        <v>24</v>
      </c>
    </row>
    <row r="631" spans="1:10" x14ac:dyDescent="0.25">
      <c r="A631">
        <v>630</v>
      </c>
      <c r="B631" s="1" t="s">
        <v>13</v>
      </c>
      <c r="C631">
        <v>12</v>
      </c>
      <c r="D631" s="1" t="s">
        <v>30</v>
      </c>
      <c r="E631" s="1" t="s">
        <v>27</v>
      </c>
      <c r="F631" s="1" t="s">
        <v>16</v>
      </c>
      <c r="G631" s="2">
        <v>44929</v>
      </c>
      <c r="H631">
        <v>8</v>
      </c>
      <c r="I631">
        <v>36754</v>
      </c>
      <c r="J631" s="1" t="s">
        <v>39</v>
      </c>
    </row>
    <row r="632" spans="1:10" x14ac:dyDescent="0.25">
      <c r="A632">
        <v>631</v>
      </c>
      <c r="B632" s="1" t="s">
        <v>13</v>
      </c>
      <c r="C632">
        <v>53</v>
      </c>
      <c r="D632" s="1" t="s">
        <v>34</v>
      </c>
      <c r="E632" s="1" t="s">
        <v>15</v>
      </c>
      <c r="F632" s="1" t="s">
        <v>28</v>
      </c>
      <c r="G632" s="2">
        <v>45217</v>
      </c>
      <c r="H632">
        <v>13</v>
      </c>
      <c r="I632">
        <v>20624</v>
      </c>
      <c r="J632" s="1" t="s">
        <v>24</v>
      </c>
    </row>
    <row r="633" spans="1:10" x14ac:dyDescent="0.25">
      <c r="A633">
        <v>632</v>
      </c>
      <c r="B633" s="1" t="s">
        <v>20</v>
      </c>
      <c r="C633">
        <v>71</v>
      </c>
      <c r="D633" s="1" t="s">
        <v>30</v>
      </c>
      <c r="E633" s="1" t="s">
        <v>27</v>
      </c>
      <c r="F633" s="1" t="s">
        <v>23</v>
      </c>
      <c r="G633" s="2">
        <v>45030</v>
      </c>
      <c r="H633">
        <v>14</v>
      </c>
      <c r="I633">
        <v>22350</v>
      </c>
      <c r="J633" s="1" t="s">
        <v>24</v>
      </c>
    </row>
    <row r="634" spans="1:10" x14ac:dyDescent="0.25">
      <c r="A634">
        <v>633</v>
      </c>
      <c r="B634" s="1" t="s">
        <v>13</v>
      </c>
      <c r="C634">
        <v>10</v>
      </c>
      <c r="D634" s="1" t="s">
        <v>34</v>
      </c>
      <c r="E634" s="1" t="s">
        <v>35</v>
      </c>
      <c r="F634" s="1" t="s">
        <v>23</v>
      </c>
      <c r="G634" s="2">
        <v>45257</v>
      </c>
      <c r="H634">
        <v>8</v>
      </c>
      <c r="I634">
        <v>28681</v>
      </c>
      <c r="J634" s="1" t="s">
        <v>39</v>
      </c>
    </row>
    <row r="635" spans="1:10" x14ac:dyDescent="0.25">
      <c r="A635">
        <v>634</v>
      </c>
      <c r="B635" s="1" t="s">
        <v>13</v>
      </c>
      <c r="C635">
        <v>45</v>
      </c>
      <c r="D635" s="1" t="s">
        <v>34</v>
      </c>
      <c r="E635" s="1" t="s">
        <v>31</v>
      </c>
      <c r="F635" s="1" t="s">
        <v>28</v>
      </c>
      <c r="G635" s="2">
        <v>45169</v>
      </c>
      <c r="H635">
        <v>12</v>
      </c>
      <c r="I635">
        <v>25988</v>
      </c>
      <c r="J635" s="1" t="s">
        <v>39</v>
      </c>
    </row>
    <row r="636" spans="1:10" x14ac:dyDescent="0.25">
      <c r="A636">
        <v>635</v>
      </c>
      <c r="B636" s="1" t="s">
        <v>20</v>
      </c>
      <c r="C636">
        <v>17</v>
      </c>
      <c r="D636" s="1" t="s">
        <v>21</v>
      </c>
      <c r="E636" s="1" t="s">
        <v>31</v>
      </c>
      <c r="F636" s="1" t="s">
        <v>16</v>
      </c>
      <c r="G636" s="2">
        <v>45050</v>
      </c>
      <c r="H636">
        <v>10</v>
      </c>
      <c r="I636">
        <v>17470</v>
      </c>
      <c r="J636" s="1" t="s">
        <v>39</v>
      </c>
    </row>
    <row r="637" spans="1:10" x14ac:dyDescent="0.25">
      <c r="A637">
        <v>636</v>
      </c>
      <c r="B637" s="1" t="s">
        <v>20</v>
      </c>
      <c r="C637">
        <v>26</v>
      </c>
      <c r="D637" s="1" t="s">
        <v>14</v>
      </c>
      <c r="E637" s="1" t="s">
        <v>35</v>
      </c>
      <c r="F637" s="1" t="s">
        <v>28</v>
      </c>
      <c r="G637" s="2">
        <v>45168</v>
      </c>
      <c r="H637">
        <v>7</v>
      </c>
      <c r="I637">
        <v>26704</v>
      </c>
      <c r="J637" s="1" t="s">
        <v>24</v>
      </c>
    </row>
    <row r="638" spans="1:10" x14ac:dyDescent="0.25">
      <c r="A638">
        <v>637</v>
      </c>
      <c r="B638" s="1" t="s">
        <v>13</v>
      </c>
      <c r="C638">
        <v>85</v>
      </c>
      <c r="D638" s="1" t="s">
        <v>37</v>
      </c>
      <c r="E638" s="1" t="s">
        <v>22</v>
      </c>
      <c r="F638" s="1" t="s">
        <v>32</v>
      </c>
      <c r="G638" s="2">
        <v>45263</v>
      </c>
      <c r="H638">
        <v>12</v>
      </c>
      <c r="I638">
        <v>40736</v>
      </c>
      <c r="J638" s="1" t="s">
        <v>24</v>
      </c>
    </row>
    <row r="639" spans="1:10" x14ac:dyDescent="0.25">
      <c r="A639">
        <v>638</v>
      </c>
      <c r="B639" s="1" t="s">
        <v>13</v>
      </c>
      <c r="C639">
        <v>62</v>
      </c>
      <c r="D639" s="1" t="s">
        <v>34</v>
      </c>
      <c r="E639" s="1" t="s">
        <v>22</v>
      </c>
      <c r="F639" s="1" t="s">
        <v>16</v>
      </c>
      <c r="G639" s="2">
        <v>44939</v>
      </c>
      <c r="H639">
        <v>1</v>
      </c>
      <c r="I639">
        <v>31377</v>
      </c>
      <c r="J639" s="1" t="s">
        <v>39</v>
      </c>
    </row>
    <row r="640" spans="1:10" x14ac:dyDescent="0.25">
      <c r="A640">
        <v>639</v>
      </c>
      <c r="B640" s="1" t="s">
        <v>20</v>
      </c>
      <c r="C640">
        <v>46</v>
      </c>
      <c r="D640" s="1" t="s">
        <v>21</v>
      </c>
      <c r="E640" s="1" t="s">
        <v>31</v>
      </c>
      <c r="F640" s="1" t="s">
        <v>16</v>
      </c>
      <c r="G640" s="2">
        <v>45201</v>
      </c>
      <c r="H640">
        <v>4</v>
      </c>
      <c r="I640">
        <v>30572</v>
      </c>
      <c r="J640" s="1" t="s">
        <v>24</v>
      </c>
    </row>
    <row r="641" spans="1:10" x14ac:dyDescent="0.25">
      <c r="A641">
        <v>640</v>
      </c>
      <c r="B641" s="1" t="s">
        <v>20</v>
      </c>
      <c r="C641">
        <v>64</v>
      </c>
      <c r="D641" s="1" t="s">
        <v>14</v>
      </c>
      <c r="E641" s="1" t="s">
        <v>31</v>
      </c>
      <c r="F641" s="1" t="s">
        <v>16</v>
      </c>
      <c r="G641" s="2">
        <v>45257</v>
      </c>
      <c r="H641">
        <v>13</v>
      </c>
      <c r="I641">
        <v>9493</v>
      </c>
      <c r="J641" s="1" t="s">
        <v>24</v>
      </c>
    </row>
    <row r="642" spans="1:10" x14ac:dyDescent="0.25">
      <c r="A642">
        <v>641</v>
      </c>
      <c r="B642" s="1" t="s">
        <v>20</v>
      </c>
      <c r="C642">
        <v>2</v>
      </c>
      <c r="D642" s="1" t="s">
        <v>37</v>
      </c>
      <c r="E642" s="1" t="s">
        <v>15</v>
      </c>
      <c r="F642" s="1" t="s">
        <v>23</v>
      </c>
      <c r="G642" s="2">
        <v>45243</v>
      </c>
      <c r="H642">
        <v>13</v>
      </c>
      <c r="I642">
        <v>6103</v>
      </c>
      <c r="J642" s="1" t="s">
        <v>39</v>
      </c>
    </row>
    <row r="643" spans="1:10" x14ac:dyDescent="0.25">
      <c r="A643">
        <v>642</v>
      </c>
      <c r="B643" s="1" t="s">
        <v>20</v>
      </c>
      <c r="C643">
        <v>54</v>
      </c>
      <c r="D643" s="1" t="s">
        <v>34</v>
      </c>
      <c r="E643" s="1" t="s">
        <v>22</v>
      </c>
      <c r="F643" s="1" t="s">
        <v>28</v>
      </c>
      <c r="G643" s="2">
        <v>45283</v>
      </c>
      <c r="H643">
        <v>4</v>
      </c>
      <c r="I643">
        <v>36844</v>
      </c>
      <c r="J643" s="1" t="s">
        <v>39</v>
      </c>
    </row>
    <row r="644" spans="1:10" x14ac:dyDescent="0.25">
      <c r="A644">
        <v>643</v>
      </c>
      <c r="B644" s="1" t="s">
        <v>20</v>
      </c>
      <c r="C644">
        <v>65</v>
      </c>
      <c r="D644" s="1" t="s">
        <v>34</v>
      </c>
      <c r="E644" s="1" t="s">
        <v>35</v>
      </c>
      <c r="F644" s="1" t="s">
        <v>16</v>
      </c>
      <c r="G644" s="2">
        <v>45232</v>
      </c>
      <c r="H644">
        <v>5</v>
      </c>
      <c r="I644">
        <v>4994</v>
      </c>
      <c r="J644" s="1" t="s">
        <v>39</v>
      </c>
    </row>
    <row r="645" spans="1:10" x14ac:dyDescent="0.25">
      <c r="A645">
        <v>644</v>
      </c>
      <c r="B645" s="1" t="s">
        <v>13</v>
      </c>
      <c r="C645">
        <v>51</v>
      </c>
      <c r="D645" s="1" t="s">
        <v>30</v>
      </c>
      <c r="E645" s="1" t="s">
        <v>22</v>
      </c>
      <c r="F645" s="1" t="s">
        <v>16</v>
      </c>
      <c r="G645" s="2">
        <v>45253</v>
      </c>
      <c r="H645">
        <v>10</v>
      </c>
      <c r="I645">
        <v>5744</v>
      </c>
      <c r="J645" s="1" t="s">
        <v>24</v>
      </c>
    </row>
    <row r="646" spans="1:10" x14ac:dyDescent="0.25">
      <c r="A646">
        <v>645</v>
      </c>
      <c r="B646" s="1" t="s">
        <v>20</v>
      </c>
      <c r="C646">
        <v>53</v>
      </c>
      <c r="D646" s="1" t="s">
        <v>30</v>
      </c>
      <c r="E646" s="1" t="s">
        <v>15</v>
      </c>
      <c r="F646" s="1" t="s">
        <v>16</v>
      </c>
      <c r="G646" s="2">
        <v>45069</v>
      </c>
      <c r="H646">
        <v>6</v>
      </c>
      <c r="I646">
        <v>49234</v>
      </c>
      <c r="J646" s="1" t="s">
        <v>39</v>
      </c>
    </row>
    <row r="647" spans="1:10" x14ac:dyDescent="0.25">
      <c r="A647">
        <v>646</v>
      </c>
      <c r="B647" s="1" t="s">
        <v>13</v>
      </c>
      <c r="C647">
        <v>36</v>
      </c>
      <c r="D647" s="1" t="s">
        <v>14</v>
      </c>
      <c r="E647" s="1" t="s">
        <v>31</v>
      </c>
      <c r="F647" s="1" t="s">
        <v>28</v>
      </c>
      <c r="G647" s="2">
        <v>45271</v>
      </c>
      <c r="H647">
        <v>4</v>
      </c>
      <c r="I647">
        <v>49291</v>
      </c>
      <c r="J647" s="1" t="s">
        <v>24</v>
      </c>
    </row>
    <row r="648" spans="1:10" x14ac:dyDescent="0.25">
      <c r="A648">
        <v>647</v>
      </c>
      <c r="B648" s="1" t="s">
        <v>13</v>
      </c>
      <c r="C648">
        <v>26</v>
      </c>
      <c r="D648" s="1" t="s">
        <v>37</v>
      </c>
      <c r="E648" s="1" t="s">
        <v>31</v>
      </c>
      <c r="F648" s="1" t="s">
        <v>23</v>
      </c>
      <c r="G648" s="2">
        <v>45142</v>
      </c>
      <c r="H648">
        <v>2</v>
      </c>
      <c r="I648">
        <v>29332</v>
      </c>
      <c r="J648" s="1" t="s">
        <v>24</v>
      </c>
    </row>
    <row r="649" spans="1:10" x14ac:dyDescent="0.25">
      <c r="A649">
        <v>648</v>
      </c>
      <c r="B649" s="1" t="s">
        <v>13</v>
      </c>
      <c r="C649">
        <v>29</v>
      </c>
      <c r="D649" s="1" t="s">
        <v>34</v>
      </c>
      <c r="E649" s="1" t="s">
        <v>15</v>
      </c>
      <c r="F649" s="1" t="s">
        <v>32</v>
      </c>
      <c r="G649" s="2">
        <v>45255</v>
      </c>
      <c r="H649">
        <v>6</v>
      </c>
      <c r="I649">
        <v>7594</v>
      </c>
      <c r="J649" s="1" t="s">
        <v>24</v>
      </c>
    </row>
    <row r="650" spans="1:10" x14ac:dyDescent="0.25">
      <c r="A650">
        <v>649</v>
      </c>
      <c r="B650" s="1" t="s">
        <v>20</v>
      </c>
      <c r="C650">
        <v>21</v>
      </c>
      <c r="D650" s="1" t="s">
        <v>14</v>
      </c>
      <c r="E650" s="1" t="s">
        <v>35</v>
      </c>
      <c r="F650" s="1" t="s">
        <v>23</v>
      </c>
      <c r="G650" s="2">
        <v>45228</v>
      </c>
      <c r="H650">
        <v>8</v>
      </c>
      <c r="I650">
        <v>42299</v>
      </c>
      <c r="J650" s="1" t="s">
        <v>24</v>
      </c>
    </row>
    <row r="651" spans="1:10" x14ac:dyDescent="0.25">
      <c r="A651">
        <v>650</v>
      </c>
      <c r="B651" s="1" t="s">
        <v>13</v>
      </c>
      <c r="C651">
        <v>11</v>
      </c>
      <c r="D651" s="1" t="s">
        <v>14</v>
      </c>
      <c r="E651" s="1" t="s">
        <v>31</v>
      </c>
      <c r="F651" s="1" t="s">
        <v>16</v>
      </c>
      <c r="G651" s="2">
        <v>45032</v>
      </c>
      <c r="H651">
        <v>8</v>
      </c>
      <c r="I651">
        <v>9371</v>
      </c>
      <c r="J651" s="1" t="s">
        <v>24</v>
      </c>
    </row>
    <row r="652" spans="1:10" x14ac:dyDescent="0.25">
      <c r="A652">
        <v>651</v>
      </c>
      <c r="B652" s="1" t="s">
        <v>13</v>
      </c>
      <c r="C652">
        <v>40</v>
      </c>
      <c r="D652" s="1" t="s">
        <v>45</v>
      </c>
      <c r="E652" s="1" t="s">
        <v>27</v>
      </c>
      <c r="F652" s="1" t="s">
        <v>23</v>
      </c>
      <c r="G652" s="2">
        <v>44960</v>
      </c>
      <c r="H652">
        <v>7</v>
      </c>
      <c r="I652">
        <v>49315</v>
      </c>
      <c r="J652" s="1" t="s">
        <v>24</v>
      </c>
    </row>
    <row r="653" spans="1:10" x14ac:dyDescent="0.25">
      <c r="A653">
        <v>652</v>
      </c>
      <c r="B653" s="1" t="s">
        <v>20</v>
      </c>
      <c r="C653">
        <v>11</v>
      </c>
      <c r="D653" s="1" t="s">
        <v>30</v>
      </c>
      <c r="E653" s="1" t="s">
        <v>31</v>
      </c>
      <c r="F653" s="1" t="s">
        <v>23</v>
      </c>
      <c r="G653" s="2">
        <v>45267</v>
      </c>
      <c r="H653">
        <v>6</v>
      </c>
      <c r="I653">
        <v>20028</v>
      </c>
      <c r="J653" s="1" t="s">
        <v>24</v>
      </c>
    </row>
    <row r="654" spans="1:10" x14ac:dyDescent="0.25">
      <c r="A654">
        <v>653</v>
      </c>
      <c r="B654" s="1" t="s">
        <v>13</v>
      </c>
      <c r="C654">
        <v>36</v>
      </c>
      <c r="D654" s="1" t="s">
        <v>37</v>
      </c>
      <c r="E654" s="1" t="s">
        <v>27</v>
      </c>
      <c r="F654" s="1" t="s">
        <v>32</v>
      </c>
      <c r="G654" s="2">
        <v>45087</v>
      </c>
      <c r="H654">
        <v>2</v>
      </c>
      <c r="I654">
        <v>37912</v>
      </c>
      <c r="J654" s="1" t="s">
        <v>24</v>
      </c>
    </row>
    <row r="655" spans="1:10" x14ac:dyDescent="0.25">
      <c r="A655">
        <v>654</v>
      </c>
      <c r="B655" s="1" t="s">
        <v>13</v>
      </c>
      <c r="C655">
        <v>59</v>
      </c>
      <c r="D655" s="1" t="s">
        <v>34</v>
      </c>
      <c r="E655" s="1" t="s">
        <v>15</v>
      </c>
      <c r="F655" s="1" t="s">
        <v>28</v>
      </c>
      <c r="G655" s="2">
        <v>44953</v>
      </c>
      <c r="H655">
        <v>7</v>
      </c>
      <c r="I655">
        <v>15990</v>
      </c>
      <c r="J655" s="1" t="s">
        <v>24</v>
      </c>
    </row>
    <row r="656" spans="1:10" x14ac:dyDescent="0.25">
      <c r="A656">
        <v>655</v>
      </c>
      <c r="B656" s="1" t="s">
        <v>20</v>
      </c>
      <c r="C656">
        <v>39</v>
      </c>
      <c r="D656" s="1" t="s">
        <v>14</v>
      </c>
      <c r="E656" s="1" t="s">
        <v>15</v>
      </c>
      <c r="F656" s="1" t="s">
        <v>28</v>
      </c>
      <c r="G656" s="2">
        <v>45129</v>
      </c>
      <c r="H656">
        <v>11</v>
      </c>
      <c r="I656">
        <v>48851</v>
      </c>
      <c r="J656" s="1" t="s">
        <v>24</v>
      </c>
    </row>
    <row r="657" spans="1:10" x14ac:dyDescent="0.25">
      <c r="A657">
        <v>656</v>
      </c>
      <c r="B657" s="1" t="s">
        <v>13</v>
      </c>
      <c r="C657">
        <v>54</v>
      </c>
      <c r="D657" s="1" t="s">
        <v>34</v>
      </c>
      <c r="E657" s="1" t="s">
        <v>31</v>
      </c>
      <c r="F657" s="1" t="s">
        <v>23</v>
      </c>
      <c r="G657" s="2">
        <v>45244</v>
      </c>
      <c r="H657">
        <v>12</v>
      </c>
      <c r="I657">
        <v>18626</v>
      </c>
      <c r="J657" s="1" t="s">
        <v>24</v>
      </c>
    </row>
    <row r="658" spans="1:10" x14ac:dyDescent="0.25">
      <c r="A658">
        <v>657</v>
      </c>
      <c r="B658" s="1" t="s">
        <v>13</v>
      </c>
      <c r="C658">
        <v>55</v>
      </c>
      <c r="D658" s="1" t="s">
        <v>45</v>
      </c>
      <c r="E658" s="1" t="s">
        <v>22</v>
      </c>
      <c r="F658" s="1" t="s">
        <v>23</v>
      </c>
      <c r="G658" s="2">
        <v>45255</v>
      </c>
      <c r="H658">
        <v>14</v>
      </c>
      <c r="I658">
        <v>22469</v>
      </c>
      <c r="J658" s="1" t="s">
        <v>39</v>
      </c>
    </row>
    <row r="659" spans="1:10" x14ac:dyDescent="0.25">
      <c r="A659">
        <v>658</v>
      </c>
      <c r="B659" s="1" t="s">
        <v>13</v>
      </c>
      <c r="C659">
        <v>24</v>
      </c>
      <c r="D659" s="1" t="s">
        <v>37</v>
      </c>
      <c r="E659" s="1" t="s">
        <v>27</v>
      </c>
      <c r="F659" s="1" t="s">
        <v>28</v>
      </c>
      <c r="G659" s="2">
        <v>45285</v>
      </c>
      <c r="H659">
        <v>14</v>
      </c>
      <c r="I659">
        <v>42722</v>
      </c>
      <c r="J659" s="1" t="s">
        <v>39</v>
      </c>
    </row>
    <row r="660" spans="1:10" x14ac:dyDescent="0.25">
      <c r="A660">
        <v>659</v>
      </c>
      <c r="B660" s="1" t="s">
        <v>20</v>
      </c>
      <c r="C660">
        <v>22</v>
      </c>
      <c r="D660" s="1" t="s">
        <v>14</v>
      </c>
      <c r="E660" s="1" t="s">
        <v>35</v>
      </c>
      <c r="F660" s="1" t="s">
        <v>28</v>
      </c>
      <c r="G660" s="2">
        <v>45291</v>
      </c>
      <c r="H660">
        <v>5</v>
      </c>
      <c r="I660">
        <v>42037</v>
      </c>
      <c r="J660" s="1" t="s">
        <v>24</v>
      </c>
    </row>
    <row r="661" spans="1:10" x14ac:dyDescent="0.25">
      <c r="A661">
        <v>660</v>
      </c>
      <c r="B661" s="1" t="s">
        <v>20</v>
      </c>
      <c r="C661">
        <v>69</v>
      </c>
      <c r="D661" s="1" t="s">
        <v>34</v>
      </c>
      <c r="E661" s="1" t="s">
        <v>31</v>
      </c>
      <c r="F661" s="1" t="s">
        <v>32</v>
      </c>
      <c r="G661" s="2">
        <v>44960</v>
      </c>
      <c r="H661">
        <v>6</v>
      </c>
      <c r="I661">
        <v>9130</v>
      </c>
      <c r="J661" s="1" t="s">
        <v>39</v>
      </c>
    </row>
    <row r="662" spans="1:10" x14ac:dyDescent="0.25">
      <c r="A662">
        <v>661</v>
      </c>
      <c r="B662" s="1" t="s">
        <v>20</v>
      </c>
      <c r="C662">
        <v>56</v>
      </c>
      <c r="D662" s="1" t="s">
        <v>30</v>
      </c>
      <c r="E662" s="1" t="s">
        <v>35</v>
      </c>
      <c r="F662" s="1" t="s">
        <v>16</v>
      </c>
      <c r="G662" s="2">
        <v>45272</v>
      </c>
      <c r="H662">
        <v>10</v>
      </c>
      <c r="I662">
        <v>8828</v>
      </c>
      <c r="J662" s="1" t="s">
        <v>24</v>
      </c>
    </row>
    <row r="663" spans="1:10" x14ac:dyDescent="0.25">
      <c r="A663">
        <v>662</v>
      </c>
      <c r="B663" s="1" t="s">
        <v>13</v>
      </c>
      <c r="C663">
        <v>33</v>
      </c>
      <c r="D663" s="1" t="s">
        <v>45</v>
      </c>
      <c r="E663" s="1" t="s">
        <v>31</v>
      </c>
      <c r="F663" s="1" t="s">
        <v>23</v>
      </c>
      <c r="G663" s="2">
        <v>45083</v>
      </c>
      <c r="H663">
        <v>8</v>
      </c>
      <c r="I663">
        <v>43612</v>
      </c>
      <c r="J663" s="1" t="s">
        <v>24</v>
      </c>
    </row>
    <row r="664" spans="1:10" x14ac:dyDescent="0.25">
      <c r="A664">
        <v>663</v>
      </c>
      <c r="B664" s="1" t="s">
        <v>13</v>
      </c>
      <c r="C664">
        <v>36</v>
      </c>
      <c r="D664" s="1" t="s">
        <v>37</v>
      </c>
      <c r="E664" s="1" t="s">
        <v>22</v>
      </c>
      <c r="F664" s="1" t="s">
        <v>28</v>
      </c>
      <c r="G664" s="2">
        <v>45018</v>
      </c>
      <c r="H664">
        <v>14</v>
      </c>
      <c r="I664">
        <v>48988</v>
      </c>
      <c r="J664" s="1" t="s">
        <v>39</v>
      </c>
    </row>
    <row r="665" spans="1:10" x14ac:dyDescent="0.25">
      <c r="A665">
        <v>664</v>
      </c>
      <c r="B665" s="1" t="s">
        <v>20</v>
      </c>
      <c r="C665">
        <v>20</v>
      </c>
      <c r="D665" s="1" t="s">
        <v>45</v>
      </c>
      <c r="E665" s="1" t="s">
        <v>22</v>
      </c>
      <c r="F665" s="1" t="s">
        <v>23</v>
      </c>
      <c r="G665" s="2">
        <v>45073</v>
      </c>
      <c r="H665">
        <v>8</v>
      </c>
      <c r="I665">
        <v>41099</v>
      </c>
      <c r="J665" s="1" t="s">
        <v>24</v>
      </c>
    </row>
    <row r="666" spans="1:10" x14ac:dyDescent="0.25">
      <c r="A666">
        <v>665</v>
      </c>
      <c r="B666" s="1" t="s">
        <v>13</v>
      </c>
      <c r="C666">
        <v>83</v>
      </c>
      <c r="D666" s="1" t="s">
        <v>30</v>
      </c>
      <c r="E666" s="1" t="s">
        <v>22</v>
      </c>
      <c r="F666" s="1" t="s">
        <v>23</v>
      </c>
      <c r="G666" s="2">
        <v>44998</v>
      </c>
      <c r="H666">
        <v>3</v>
      </c>
      <c r="I666">
        <v>48165</v>
      </c>
      <c r="J666" s="1" t="s">
        <v>17</v>
      </c>
    </row>
    <row r="667" spans="1:10" x14ac:dyDescent="0.25">
      <c r="A667">
        <v>666</v>
      </c>
      <c r="B667" s="1" t="s">
        <v>13</v>
      </c>
      <c r="C667">
        <v>81</v>
      </c>
      <c r="D667" s="1" t="s">
        <v>37</v>
      </c>
      <c r="E667" s="1" t="s">
        <v>22</v>
      </c>
      <c r="F667" s="1" t="s">
        <v>28</v>
      </c>
      <c r="G667" s="2">
        <v>45145</v>
      </c>
      <c r="H667">
        <v>12</v>
      </c>
      <c r="I667">
        <v>19883</v>
      </c>
      <c r="J667" s="1" t="s">
        <v>24</v>
      </c>
    </row>
    <row r="668" spans="1:10" x14ac:dyDescent="0.25">
      <c r="A668">
        <v>667</v>
      </c>
      <c r="B668" s="1" t="s">
        <v>20</v>
      </c>
      <c r="C668">
        <v>62</v>
      </c>
      <c r="D668" s="1" t="s">
        <v>45</v>
      </c>
      <c r="E668" s="1" t="s">
        <v>15</v>
      </c>
      <c r="F668" s="1" t="s">
        <v>32</v>
      </c>
      <c r="G668" s="2">
        <v>45174</v>
      </c>
      <c r="H668">
        <v>12</v>
      </c>
      <c r="I668">
        <v>45059</v>
      </c>
      <c r="J668" s="1" t="s">
        <v>39</v>
      </c>
    </row>
    <row r="669" spans="1:10" x14ac:dyDescent="0.25">
      <c r="A669">
        <v>668</v>
      </c>
      <c r="B669" s="1" t="s">
        <v>20</v>
      </c>
      <c r="C669">
        <v>73</v>
      </c>
      <c r="D669" s="1" t="s">
        <v>21</v>
      </c>
      <c r="E669" s="1" t="s">
        <v>15</v>
      </c>
      <c r="F669" s="1" t="s">
        <v>23</v>
      </c>
      <c r="G669" s="2">
        <v>45267</v>
      </c>
      <c r="H669">
        <v>14</v>
      </c>
      <c r="I669">
        <v>20542</v>
      </c>
      <c r="J669" s="1" t="s">
        <v>24</v>
      </c>
    </row>
    <row r="670" spans="1:10" x14ac:dyDescent="0.25">
      <c r="A670">
        <v>669</v>
      </c>
      <c r="B670" s="1" t="s">
        <v>13</v>
      </c>
      <c r="C670">
        <v>26</v>
      </c>
      <c r="D670" s="1" t="s">
        <v>30</v>
      </c>
      <c r="E670" s="1" t="s">
        <v>27</v>
      </c>
      <c r="F670" s="1" t="s">
        <v>32</v>
      </c>
      <c r="G670" s="2">
        <v>45047</v>
      </c>
      <c r="H670">
        <v>7</v>
      </c>
      <c r="I670">
        <v>44932</v>
      </c>
      <c r="J670" s="1" t="s">
        <v>24</v>
      </c>
    </row>
    <row r="671" spans="1:10" x14ac:dyDescent="0.25">
      <c r="A671">
        <v>670</v>
      </c>
      <c r="B671" s="1" t="s">
        <v>13</v>
      </c>
      <c r="C671">
        <v>66</v>
      </c>
      <c r="D671" s="1" t="s">
        <v>30</v>
      </c>
      <c r="E671" s="1" t="s">
        <v>35</v>
      </c>
      <c r="F671" s="1" t="s">
        <v>28</v>
      </c>
      <c r="G671" s="2">
        <v>44966</v>
      </c>
      <c r="H671">
        <v>1</v>
      </c>
      <c r="I671">
        <v>12450</v>
      </c>
      <c r="J671" s="1" t="s">
        <v>24</v>
      </c>
    </row>
    <row r="672" spans="1:10" x14ac:dyDescent="0.25">
      <c r="A672">
        <v>671</v>
      </c>
      <c r="B672" s="1" t="s">
        <v>13</v>
      </c>
      <c r="C672">
        <v>73</v>
      </c>
      <c r="D672" s="1" t="s">
        <v>30</v>
      </c>
      <c r="E672" s="1" t="s">
        <v>31</v>
      </c>
      <c r="F672" s="1" t="s">
        <v>16</v>
      </c>
      <c r="G672" s="2">
        <v>44963</v>
      </c>
      <c r="H672">
        <v>1</v>
      </c>
      <c r="I672">
        <v>22423</v>
      </c>
      <c r="J672" s="1" t="s">
        <v>39</v>
      </c>
    </row>
    <row r="673" spans="1:10" x14ac:dyDescent="0.25">
      <c r="A673">
        <v>672</v>
      </c>
      <c r="B673" s="1" t="s">
        <v>20</v>
      </c>
      <c r="C673">
        <v>73</v>
      </c>
      <c r="D673" s="1" t="s">
        <v>21</v>
      </c>
      <c r="E673" s="1" t="s">
        <v>31</v>
      </c>
      <c r="F673" s="1" t="s">
        <v>16</v>
      </c>
      <c r="G673" s="2">
        <v>45217</v>
      </c>
      <c r="H673">
        <v>7</v>
      </c>
      <c r="I673">
        <v>4035</v>
      </c>
      <c r="J673" s="1" t="s">
        <v>24</v>
      </c>
    </row>
    <row r="674" spans="1:10" x14ac:dyDescent="0.25">
      <c r="A674">
        <v>673</v>
      </c>
      <c r="B674" s="1" t="s">
        <v>20</v>
      </c>
      <c r="C674">
        <v>40</v>
      </c>
      <c r="D674" s="1" t="s">
        <v>21</v>
      </c>
      <c r="E674" s="1" t="s">
        <v>15</v>
      </c>
      <c r="F674" s="1" t="s">
        <v>23</v>
      </c>
      <c r="G674" s="2">
        <v>44974</v>
      </c>
      <c r="H674">
        <v>10</v>
      </c>
      <c r="I674">
        <v>46231</v>
      </c>
      <c r="J674" s="1" t="s">
        <v>17</v>
      </c>
    </row>
    <row r="675" spans="1:10" x14ac:dyDescent="0.25">
      <c r="A675">
        <v>674</v>
      </c>
      <c r="B675" s="1" t="s">
        <v>20</v>
      </c>
      <c r="C675">
        <v>17</v>
      </c>
      <c r="D675" s="1" t="s">
        <v>34</v>
      </c>
      <c r="E675" s="1" t="s">
        <v>31</v>
      </c>
      <c r="F675" s="1" t="s">
        <v>28</v>
      </c>
      <c r="G675" s="2">
        <v>45271</v>
      </c>
      <c r="H675">
        <v>9</v>
      </c>
      <c r="I675">
        <v>42745</v>
      </c>
      <c r="J675" s="1" t="s">
        <v>24</v>
      </c>
    </row>
    <row r="676" spans="1:10" x14ac:dyDescent="0.25">
      <c r="A676">
        <v>675</v>
      </c>
      <c r="B676" s="1" t="s">
        <v>20</v>
      </c>
      <c r="C676">
        <v>1</v>
      </c>
      <c r="D676" s="1" t="s">
        <v>14</v>
      </c>
      <c r="E676" s="1" t="s">
        <v>15</v>
      </c>
      <c r="F676" s="1" t="s">
        <v>32</v>
      </c>
      <c r="G676" s="2">
        <v>44967</v>
      </c>
      <c r="H676">
        <v>7</v>
      </c>
      <c r="I676">
        <v>19241</v>
      </c>
      <c r="J676" s="1" t="s">
        <v>24</v>
      </c>
    </row>
    <row r="677" spans="1:10" x14ac:dyDescent="0.25">
      <c r="A677">
        <v>676</v>
      </c>
      <c r="B677" s="1" t="s">
        <v>13</v>
      </c>
      <c r="C677">
        <v>89</v>
      </c>
      <c r="D677" s="1" t="s">
        <v>45</v>
      </c>
      <c r="E677" s="1" t="s">
        <v>27</v>
      </c>
      <c r="F677" s="1" t="s">
        <v>23</v>
      </c>
      <c r="G677" s="2">
        <v>45007</v>
      </c>
      <c r="H677">
        <v>10</v>
      </c>
      <c r="I677">
        <v>25154</v>
      </c>
      <c r="J677" s="1" t="s">
        <v>24</v>
      </c>
    </row>
    <row r="678" spans="1:10" x14ac:dyDescent="0.25">
      <c r="A678">
        <v>677</v>
      </c>
      <c r="B678" s="1" t="s">
        <v>20</v>
      </c>
      <c r="C678">
        <v>61</v>
      </c>
      <c r="D678" s="1" t="s">
        <v>34</v>
      </c>
      <c r="E678" s="1" t="s">
        <v>35</v>
      </c>
      <c r="F678" s="1" t="s">
        <v>28</v>
      </c>
      <c r="G678" s="2">
        <v>45121</v>
      </c>
      <c r="H678">
        <v>5</v>
      </c>
      <c r="I678">
        <v>27625</v>
      </c>
      <c r="J678" s="1" t="s">
        <v>24</v>
      </c>
    </row>
    <row r="679" spans="1:10" x14ac:dyDescent="0.25">
      <c r="A679">
        <v>678</v>
      </c>
      <c r="B679" s="1" t="s">
        <v>20</v>
      </c>
      <c r="C679">
        <v>43</v>
      </c>
      <c r="D679" s="1" t="s">
        <v>45</v>
      </c>
      <c r="E679" s="1" t="s">
        <v>27</v>
      </c>
      <c r="F679" s="1" t="s">
        <v>28</v>
      </c>
      <c r="G679" s="2">
        <v>44972</v>
      </c>
      <c r="H679">
        <v>8</v>
      </c>
      <c r="I679">
        <v>46950</v>
      </c>
      <c r="J679" s="1" t="s">
        <v>39</v>
      </c>
    </row>
    <row r="680" spans="1:10" x14ac:dyDescent="0.25">
      <c r="A680">
        <v>679</v>
      </c>
      <c r="B680" s="1" t="s">
        <v>20</v>
      </c>
      <c r="C680">
        <v>42</v>
      </c>
      <c r="D680" s="1" t="s">
        <v>14</v>
      </c>
      <c r="E680" s="1" t="s">
        <v>22</v>
      </c>
      <c r="F680" s="1" t="s">
        <v>32</v>
      </c>
      <c r="G680" s="2">
        <v>45221</v>
      </c>
      <c r="H680">
        <v>2</v>
      </c>
      <c r="I680">
        <v>35066</v>
      </c>
      <c r="J680" s="1" t="s">
        <v>24</v>
      </c>
    </row>
    <row r="681" spans="1:10" x14ac:dyDescent="0.25">
      <c r="A681">
        <v>680</v>
      </c>
      <c r="B681" s="1" t="s">
        <v>20</v>
      </c>
      <c r="C681">
        <v>25</v>
      </c>
      <c r="D681" s="1" t="s">
        <v>21</v>
      </c>
      <c r="E681" s="1" t="s">
        <v>22</v>
      </c>
      <c r="F681" s="1" t="s">
        <v>23</v>
      </c>
      <c r="G681" s="2">
        <v>45019</v>
      </c>
      <c r="H681">
        <v>9</v>
      </c>
      <c r="I681">
        <v>35691</v>
      </c>
      <c r="J681" s="1" t="s">
        <v>24</v>
      </c>
    </row>
    <row r="682" spans="1:10" x14ac:dyDescent="0.25">
      <c r="A682">
        <v>681</v>
      </c>
      <c r="B682" s="1" t="s">
        <v>20</v>
      </c>
      <c r="C682">
        <v>39</v>
      </c>
      <c r="D682" s="1" t="s">
        <v>14</v>
      </c>
      <c r="E682" s="1" t="s">
        <v>22</v>
      </c>
      <c r="F682" s="1" t="s">
        <v>28</v>
      </c>
      <c r="G682" s="2">
        <v>44957</v>
      </c>
      <c r="H682">
        <v>6</v>
      </c>
      <c r="I682">
        <v>15331</v>
      </c>
      <c r="J682" s="1" t="s">
        <v>24</v>
      </c>
    </row>
    <row r="683" spans="1:10" x14ac:dyDescent="0.25">
      <c r="A683">
        <v>682</v>
      </c>
      <c r="B683" s="1" t="s">
        <v>13</v>
      </c>
      <c r="C683">
        <v>35</v>
      </c>
      <c r="D683" s="1" t="s">
        <v>21</v>
      </c>
      <c r="E683" s="1" t="s">
        <v>27</v>
      </c>
      <c r="F683" s="1" t="s">
        <v>28</v>
      </c>
      <c r="G683" s="2">
        <v>45045</v>
      </c>
      <c r="H683">
        <v>13</v>
      </c>
      <c r="I683">
        <v>22690</v>
      </c>
      <c r="J683" s="1" t="s">
        <v>24</v>
      </c>
    </row>
    <row r="684" spans="1:10" x14ac:dyDescent="0.25">
      <c r="A684">
        <v>683</v>
      </c>
      <c r="B684" s="1" t="s">
        <v>13</v>
      </c>
      <c r="C684">
        <v>3</v>
      </c>
      <c r="D684" s="1" t="s">
        <v>14</v>
      </c>
      <c r="E684" s="1" t="s">
        <v>31</v>
      </c>
      <c r="F684" s="1" t="s">
        <v>28</v>
      </c>
      <c r="G684" s="2">
        <v>45068</v>
      </c>
      <c r="H684">
        <v>9</v>
      </c>
      <c r="I684">
        <v>21183</v>
      </c>
      <c r="J684" s="1" t="s">
        <v>39</v>
      </c>
    </row>
    <row r="685" spans="1:10" x14ac:dyDescent="0.25">
      <c r="A685">
        <v>684</v>
      </c>
      <c r="B685" s="1" t="s">
        <v>20</v>
      </c>
      <c r="C685">
        <v>44</v>
      </c>
      <c r="D685" s="1" t="s">
        <v>34</v>
      </c>
      <c r="E685" s="1" t="s">
        <v>35</v>
      </c>
      <c r="F685" s="1" t="s">
        <v>32</v>
      </c>
      <c r="G685" s="2">
        <v>45063</v>
      </c>
      <c r="H685">
        <v>2</v>
      </c>
      <c r="I685">
        <v>41346</v>
      </c>
      <c r="J685" s="1" t="s">
        <v>24</v>
      </c>
    </row>
    <row r="686" spans="1:10" x14ac:dyDescent="0.25">
      <c r="A686">
        <v>685</v>
      </c>
      <c r="B686" s="1" t="s">
        <v>13</v>
      </c>
      <c r="C686">
        <v>51</v>
      </c>
      <c r="D686" s="1" t="s">
        <v>37</v>
      </c>
      <c r="E686" s="1" t="s">
        <v>22</v>
      </c>
      <c r="F686" s="1" t="s">
        <v>23</v>
      </c>
      <c r="G686" s="2">
        <v>45236</v>
      </c>
      <c r="H686">
        <v>3</v>
      </c>
      <c r="I686">
        <v>6875</v>
      </c>
      <c r="J686" s="1" t="s">
        <v>24</v>
      </c>
    </row>
    <row r="687" spans="1:10" x14ac:dyDescent="0.25">
      <c r="A687">
        <v>686</v>
      </c>
      <c r="B687" s="1" t="s">
        <v>20</v>
      </c>
      <c r="C687">
        <v>12</v>
      </c>
      <c r="D687" s="1" t="s">
        <v>34</v>
      </c>
      <c r="E687" s="1" t="s">
        <v>22</v>
      </c>
      <c r="F687" s="1" t="s">
        <v>23</v>
      </c>
      <c r="G687" s="2">
        <v>45120</v>
      </c>
      <c r="H687">
        <v>12</v>
      </c>
      <c r="I687">
        <v>14254</v>
      </c>
      <c r="J687" s="1" t="s">
        <v>17</v>
      </c>
    </row>
    <row r="688" spans="1:10" x14ac:dyDescent="0.25">
      <c r="A688">
        <v>687</v>
      </c>
      <c r="B688" s="1" t="s">
        <v>20</v>
      </c>
      <c r="C688">
        <v>19</v>
      </c>
      <c r="D688" s="1" t="s">
        <v>45</v>
      </c>
      <c r="E688" s="1" t="s">
        <v>22</v>
      </c>
      <c r="F688" s="1" t="s">
        <v>23</v>
      </c>
      <c r="G688" s="2">
        <v>44975</v>
      </c>
      <c r="H688">
        <v>8</v>
      </c>
      <c r="I688">
        <v>30621</v>
      </c>
      <c r="J688" s="1" t="s">
        <v>39</v>
      </c>
    </row>
    <row r="689" spans="1:10" x14ac:dyDescent="0.25">
      <c r="A689">
        <v>688</v>
      </c>
      <c r="B689" s="1" t="s">
        <v>13</v>
      </c>
      <c r="C689">
        <v>44</v>
      </c>
      <c r="D689" s="1" t="s">
        <v>34</v>
      </c>
      <c r="E689" s="1" t="s">
        <v>35</v>
      </c>
      <c r="F689" s="1" t="s">
        <v>23</v>
      </c>
      <c r="G689" s="2">
        <v>45195</v>
      </c>
      <c r="H689">
        <v>1</v>
      </c>
      <c r="I689">
        <v>12905</v>
      </c>
      <c r="J689" s="1" t="s">
        <v>24</v>
      </c>
    </row>
    <row r="690" spans="1:10" x14ac:dyDescent="0.25">
      <c r="A690">
        <v>689</v>
      </c>
      <c r="B690" s="1" t="s">
        <v>13</v>
      </c>
      <c r="C690">
        <v>59</v>
      </c>
      <c r="D690" s="1" t="s">
        <v>30</v>
      </c>
      <c r="E690" s="1" t="s">
        <v>22</v>
      </c>
      <c r="F690" s="1" t="s">
        <v>16</v>
      </c>
      <c r="G690" s="2">
        <v>45283</v>
      </c>
      <c r="H690">
        <v>10</v>
      </c>
      <c r="I690">
        <v>48121</v>
      </c>
      <c r="J690" s="1" t="s">
        <v>24</v>
      </c>
    </row>
    <row r="691" spans="1:10" x14ac:dyDescent="0.25">
      <c r="A691">
        <v>690</v>
      </c>
      <c r="B691" s="1" t="s">
        <v>20</v>
      </c>
      <c r="C691">
        <v>49</v>
      </c>
      <c r="D691" s="1" t="s">
        <v>45</v>
      </c>
      <c r="E691" s="1" t="s">
        <v>35</v>
      </c>
      <c r="F691" s="1" t="s">
        <v>16</v>
      </c>
      <c r="G691" s="2">
        <v>45106</v>
      </c>
      <c r="H691">
        <v>7</v>
      </c>
      <c r="I691">
        <v>17882</v>
      </c>
      <c r="J691" s="1" t="s">
        <v>24</v>
      </c>
    </row>
    <row r="692" spans="1:10" x14ac:dyDescent="0.25">
      <c r="A692">
        <v>691</v>
      </c>
      <c r="B692" s="1" t="s">
        <v>20</v>
      </c>
      <c r="C692">
        <v>61</v>
      </c>
      <c r="D692" s="1" t="s">
        <v>14</v>
      </c>
      <c r="E692" s="1" t="s">
        <v>22</v>
      </c>
      <c r="F692" s="1" t="s">
        <v>23</v>
      </c>
      <c r="G692" s="2">
        <v>45099</v>
      </c>
      <c r="H692">
        <v>7</v>
      </c>
      <c r="I692">
        <v>21041</v>
      </c>
      <c r="J692" s="1" t="s">
        <v>24</v>
      </c>
    </row>
    <row r="693" spans="1:10" x14ac:dyDescent="0.25">
      <c r="A693">
        <v>692</v>
      </c>
      <c r="B693" s="1" t="s">
        <v>20</v>
      </c>
      <c r="C693">
        <v>17</v>
      </c>
      <c r="D693" s="1" t="s">
        <v>45</v>
      </c>
      <c r="E693" s="1" t="s">
        <v>27</v>
      </c>
      <c r="F693" s="1" t="s">
        <v>32</v>
      </c>
      <c r="G693" s="2">
        <v>44940</v>
      </c>
      <c r="H693">
        <v>13</v>
      </c>
      <c r="I693">
        <v>31098</v>
      </c>
      <c r="J693" s="1" t="s">
        <v>39</v>
      </c>
    </row>
    <row r="694" spans="1:10" x14ac:dyDescent="0.25">
      <c r="A694">
        <v>693</v>
      </c>
      <c r="B694" s="1" t="s">
        <v>13</v>
      </c>
      <c r="C694">
        <v>74</v>
      </c>
      <c r="D694" s="1" t="s">
        <v>37</v>
      </c>
      <c r="E694" s="1" t="s">
        <v>27</v>
      </c>
      <c r="F694" s="1" t="s">
        <v>16</v>
      </c>
      <c r="G694" s="2">
        <v>45255</v>
      </c>
      <c r="H694">
        <v>1</v>
      </c>
      <c r="I694">
        <v>44431</v>
      </c>
      <c r="J694" s="1" t="s">
        <v>24</v>
      </c>
    </row>
    <row r="695" spans="1:10" x14ac:dyDescent="0.25">
      <c r="A695">
        <v>694</v>
      </c>
      <c r="B695" s="1" t="s">
        <v>20</v>
      </c>
      <c r="C695">
        <v>57</v>
      </c>
      <c r="D695" s="1" t="s">
        <v>21</v>
      </c>
      <c r="E695" s="1" t="s">
        <v>35</v>
      </c>
      <c r="F695" s="1" t="s">
        <v>28</v>
      </c>
      <c r="G695" s="2">
        <v>44944</v>
      </c>
      <c r="H695">
        <v>9</v>
      </c>
      <c r="I695">
        <v>35709</v>
      </c>
      <c r="J695" s="1" t="s">
        <v>24</v>
      </c>
    </row>
    <row r="696" spans="1:10" x14ac:dyDescent="0.25">
      <c r="A696">
        <v>695</v>
      </c>
      <c r="B696" s="1" t="s">
        <v>20</v>
      </c>
      <c r="C696">
        <v>55</v>
      </c>
      <c r="D696" s="1" t="s">
        <v>14</v>
      </c>
      <c r="E696" s="1" t="s">
        <v>27</v>
      </c>
      <c r="F696" s="1" t="s">
        <v>16</v>
      </c>
      <c r="G696" s="2">
        <v>45134</v>
      </c>
      <c r="H696">
        <v>8</v>
      </c>
      <c r="I696">
        <v>36675</v>
      </c>
      <c r="J696" s="1" t="s">
        <v>24</v>
      </c>
    </row>
    <row r="697" spans="1:10" x14ac:dyDescent="0.25">
      <c r="A697">
        <v>696</v>
      </c>
      <c r="B697" s="1" t="s">
        <v>20</v>
      </c>
      <c r="C697">
        <v>47</v>
      </c>
      <c r="D697" s="1" t="s">
        <v>45</v>
      </c>
      <c r="E697" s="1" t="s">
        <v>35</v>
      </c>
      <c r="F697" s="1" t="s">
        <v>28</v>
      </c>
      <c r="G697" s="2">
        <v>45278</v>
      </c>
      <c r="H697">
        <v>4</v>
      </c>
      <c r="I697">
        <v>6837</v>
      </c>
      <c r="J697" s="1" t="s">
        <v>24</v>
      </c>
    </row>
    <row r="698" spans="1:10" x14ac:dyDescent="0.25">
      <c r="A698">
        <v>697</v>
      </c>
      <c r="B698" s="1" t="s">
        <v>13</v>
      </c>
      <c r="C698">
        <v>12</v>
      </c>
      <c r="D698" s="1" t="s">
        <v>14</v>
      </c>
      <c r="E698" s="1" t="s">
        <v>27</v>
      </c>
      <c r="F698" s="1" t="s">
        <v>23</v>
      </c>
      <c r="G698" s="2">
        <v>45170</v>
      </c>
      <c r="H698">
        <v>10</v>
      </c>
      <c r="I698">
        <v>48448</v>
      </c>
      <c r="J698" s="1" t="s">
        <v>24</v>
      </c>
    </row>
    <row r="699" spans="1:10" x14ac:dyDescent="0.25">
      <c r="A699">
        <v>698</v>
      </c>
      <c r="B699" s="1" t="s">
        <v>20</v>
      </c>
      <c r="C699">
        <v>62</v>
      </c>
      <c r="D699" s="1" t="s">
        <v>14</v>
      </c>
      <c r="E699" s="1" t="s">
        <v>27</v>
      </c>
      <c r="F699" s="1" t="s">
        <v>16</v>
      </c>
      <c r="G699" s="2">
        <v>44937</v>
      </c>
      <c r="H699">
        <v>11</v>
      </c>
      <c r="I699">
        <v>26489</v>
      </c>
      <c r="J699" s="1" t="s">
        <v>24</v>
      </c>
    </row>
    <row r="700" spans="1:10" x14ac:dyDescent="0.25">
      <c r="A700">
        <v>699</v>
      </c>
      <c r="B700" s="1" t="s">
        <v>20</v>
      </c>
      <c r="C700">
        <v>80</v>
      </c>
      <c r="D700" s="1" t="s">
        <v>14</v>
      </c>
      <c r="E700" s="1" t="s">
        <v>35</v>
      </c>
      <c r="F700" s="1" t="s">
        <v>32</v>
      </c>
      <c r="G700" s="2">
        <v>44939</v>
      </c>
      <c r="H700">
        <v>5</v>
      </c>
      <c r="I700">
        <v>19627</v>
      </c>
      <c r="J700" s="1" t="s">
        <v>24</v>
      </c>
    </row>
    <row r="701" spans="1:10" x14ac:dyDescent="0.25">
      <c r="A701">
        <v>700</v>
      </c>
      <c r="B701" s="1" t="s">
        <v>13</v>
      </c>
      <c r="C701">
        <v>88</v>
      </c>
      <c r="D701" s="1" t="s">
        <v>21</v>
      </c>
      <c r="E701" s="1" t="s">
        <v>31</v>
      </c>
      <c r="F701" s="1" t="s">
        <v>16</v>
      </c>
      <c r="G701" s="2">
        <v>45081</v>
      </c>
      <c r="H701">
        <v>2</v>
      </c>
      <c r="I701">
        <v>7696</v>
      </c>
      <c r="J701" s="1" t="s">
        <v>24</v>
      </c>
    </row>
    <row r="702" spans="1:10" x14ac:dyDescent="0.25">
      <c r="A702">
        <v>701</v>
      </c>
      <c r="B702" s="1" t="s">
        <v>20</v>
      </c>
      <c r="C702">
        <v>83</v>
      </c>
      <c r="D702" s="1" t="s">
        <v>34</v>
      </c>
      <c r="E702" s="1" t="s">
        <v>27</v>
      </c>
      <c r="F702" s="1" t="s">
        <v>16</v>
      </c>
      <c r="G702" s="2">
        <v>45285</v>
      </c>
      <c r="H702">
        <v>13</v>
      </c>
      <c r="I702">
        <v>15543</v>
      </c>
      <c r="J702" s="1" t="s">
        <v>24</v>
      </c>
    </row>
    <row r="703" spans="1:10" x14ac:dyDescent="0.25">
      <c r="A703">
        <v>702</v>
      </c>
      <c r="B703" s="1" t="s">
        <v>20</v>
      </c>
      <c r="C703">
        <v>8</v>
      </c>
      <c r="D703" s="1" t="s">
        <v>14</v>
      </c>
      <c r="E703" s="1" t="s">
        <v>22</v>
      </c>
      <c r="F703" s="1" t="s">
        <v>16</v>
      </c>
      <c r="G703" s="2">
        <v>45230</v>
      </c>
      <c r="H703">
        <v>9</v>
      </c>
      <c r="I703">
        <v>14615</v>
      </c>
      <c r="J703" s="1" t="s">
        <v>24</v>
      </c>
    </row>
    <row r="704" spans="1:10" x14ac:dyDescent="0.25">
      <c r="A704">
        <v>703</v>
      </c>
      <c r="B704" s="1" t="s">
        <v>13</v>
      </c>
      <c r="C704">
        <v>21</v>
      </c>
      <c r="D704" s="1" t="s">
        <v>30</v>
      </c>
      <c r="E704" s="1" t="s">
        <v>31</v>
      </c>
      <c r="F704" s="1" t="s">
        <v>23</v>
      </c>
      <c r="G704" s="2">
        <v>45230</v>
      </c>
      <c r="H704">
        <v>12</v>
      </c>
      <c r="I704">
        <v>3466</v>
      </c>
      <c r="J704" s="1" t="s">
        <v>24</v>
      </c>
    </row>
    <row r="705" spans="1:10" x14ac:dyDescent="0.25">
      <c r="A705">
        <v>704</v>
      </c>
      <c r="B705" s="1" t="s">
        <v>20</v>
      </c>
      <c r="C705">
        <v>81</v>
      </c>
      <c r="D705" s="1" t="s">
        <v>37</v>
      </c>
      <c r="E705" s="1" t="s">
        <v>35</v>
      </c>
      <c r="F705" s="1" t="s">
        <v>32</v>
      </c>
      <c r="G705" s="2">
        <v>45268</v>
      </c>
      <c r="H705">
        <v>12</v>
      </c>
      <c r="I705">
        <v>32771</v>
      </c>
      <c r="J705" s="1" t="s">
        <v>24</v>
      </c>
    </row>
    <row r="706" spans="1:10" x14ac:dyDescent="0.25">
      <c r="A706">
        <v>705</v>
      </c>
      <c r="B706" s="1" t="s">
        <v>13</v>
      </c>
      <c r="C706">
        <v>87</v>
      </c>
      <c r="D706" s="1" t="s">
        <v>21</v>
      </c>
      <c r="E706" s="1" t="s">
        <v>31</v>
      </c>
      <c r="F706" s="1" t="s">
        <v>16</v>
      </c>
      <c r="G706" s="2">
        <v>44932</v>
      </c>
      <c r="H706">
        <v>6</v>
      </c>
      <c r="I706">
        <v>20350</v>
      </c>
      <c r="J706" s="1" t="s">
        <v>24</v>
      </c>
    </row>
    <row r="707" spans="1:10" x14ac:dyDescent="0.25">
      <c r="A707">
        <v>706</v>
      </c>
      <c r="B707" s="1" t="s">
        <v>13</v>
      </c>
      <c r="C707">
        <v>80</v>
      </c>
      <c r="D707" s="1" t="s">
        <v>45</v>
      </c>
      <c r="E707" s="1" t="s">
        <v>15</v>
      </c>
      <c r="F707" s="1" t="s">
        <v>32</v>
      </c>
      <c r="G707" s="2">
        <v>45193</v>
      </c>
      <c r="H707">
        <v>3</v>
      </c>
      <c r="I707">
        <v>2375</v>
      </c>
      <c r="J707" s="1" t="s">
        <v>24</v>
      </c>
    </row>
    <row r="708" spans="1:10" x14ac:dyDescent="0.25">
      <c r="A708">
        <v>707</v>
      </c>
      <c r="B708" s="1" t="s">
        <v>20</v>
      </c>
      <c r="C708">
        <v>70</v>
      </c>
      <c r="D708" s="1" t="s">
        <v>21</v>
      </c>
      <c r="E708" s="1" t="s">
        <v>15</v>
      </c>
      <c r="F708" s="1" t="s">
        <v>23</v>
      </c>
      <c r="G708" s="2">
        <v>45204</v>
      </c>
      <c r="H708">
        <v>12</v>
      </c>
      <c r="I708">
        <v>35030</v>
      </c>
      <c r="J708" s="1" t="s">
        <v>24</v>
      </c>
    </row>
    <row r="709" spans="1:10" x14ac:dyDescent="0.25">
      <c r="A709">
        <v>708</v>
      </c>
      <c r="B709" s="1" t="s">
        <v>20</v>
      </c>
      <c r="C709">
        <v>72</v>
      </c>
      <c r="D709" s="1" t="s">
        <v>45</v>
      </c>
      <c r="E709" s="1" t="s">
        <v>27</v>
      </c>
      <c r="F709" s="1" t="s">
        <v>28</v>
      </c>
      <c r="G709" s="2">
        <v>44937</v>
      </c>
      <c r="H709">
        <v>7</v>
      </c>
      <c r="I709">
        <v>22746</v>
      </c>
      <c r="J709" s="1" t="s">
        <v>24</v>
      </c>
    </row>
    <row r="710" spans="1:10" x14ac:dyDescent="0.25">
      <c r="A710">
        <v>709</v>
      </c>
      <c r="B710" s="1" t="s">
        <v>20</v>
      </c>
      <c r="C710">
        <v>25</v>
      </c>
      <c r="D710" s="1" t="s">
        <v>21</v>
      </c>
      <c r="E710" s="1" t="s">
        <v>27</v>
      </c>
      <c r="F710" s="1" t="s">
        <v>16</v>
      </c>
      <c r="G710" s="2">
        <v>45068</v>
      </c>
      <c r="H710">
        <v>9</v>
      </c>
      <c r="I710">
        <v>24886</v>
      </c>
      <c r="J710" s="1" t="s">
        <v>39</v>
      </c>
    </row>
    <row r="711" spans="1:10" x14ac:dyDescent="0.25">
      <c r="A711">
        <v>710</v>
      </c>
      <c r="B711" s="1" t="s">
        <v>20</v>
      </c>
      <c r="C711">
        <v>82</v>
      </c>
      <c r="D711" s="1" t="s">
        <v>45</v>
      </c>
      <c r="E711" s="1" t="s">
        <v>22</v>
      </c>
      <c r="F711" s="1" t="s">
        <v>32</v>
      </c>
      <c r="G711" s="2">
        <v>44959</v>
      </c>
      <c r="H711">
        <v>3</v>
      </c>
      <c r="I711">
        <v>46348</v>
      </c>
      <c r="J711" s="1" t="s">
        <v>17</v>
      </c>
    </row>
    <row r="712" spans="1:10" x14ac:dyDescent="0.25">
      <c r="A712">
        <v>711</v>
      </c>
      <c r="B712" s="1" t="s">
        <v>13</v>
      </c>
      <c r="C712">
        <v>89</v>
      </c>
      <c r="D712" s="1" t="s">
        <v>14</v>
      </c>
      <c r="E712" s="1" t="s">
        <v>31</v>
      </c>
      <c r="F712" s="1" t="s">
        <v>32</v>
      </c>
      <c r="G712" s="2">
        <v>45078</v>
      </c>
      <c r="H712">
        <v>2</v>
      </c>
      <c r="I712">
        <v>44904</v>
      </c>
      <c r="J712" s="1" t="s">
        <v>39</v>
      </c>
    </row>
    <row r="713" spans="1:10" x14ac:dyDescent="0.25">
      <c r="A713">
        <v>712</v>
      </c>
      <c r="B713" s="1" t="s">
        <v>20</v>
      </c>
      <c r="C713">
        <v>12</v>
      </c>
      <c r="D713" s="1" t="s">
        <v>34</v>
      </c>
      <c r="E713" s="1" t="s">
        <v>15</v>
      </c>
      <c r="F713" s="1" t="s">
        <v>23</v>
      </c>
      <c r="G713" s="2">
        <v>45186</v>
      </c>
      <c r="H713">
        <v>7</v>
      </c>
      <c r="I713">
        <v>34651</v>
      </c>
      <c r="J713" s="1" t="s">
        <v>24</v>
      </c>
    </row>
    <row r="714" spans="1:10" x14ac:dyDescent="0.25">
      <c r="A714">
        <v>713</v>
      </c>
      <c r="B714" s="1" t="s">
        <v>13</v>
      </c>
      <c r="C714">
        <v>15</v>
      </c>
      <c r="D714" s="1" t="s">
        <v>45</v>
      </c>
      <c r="E714" s="1" t="s">
        <v>27</v>
      </c>
      <c r="F714" s="1" t="s">
        <v>16</v>
      </c>
      <c r="G714" s="2">
        <v>45211</v>
      </c>
      <c r="H714">
        <v>7</v>
      </c>
      <c r="I714">
        <v>9833</v>
      </c>
      <c r="J714" s="1" t="s">
        <v>39</v>
      </c>
    </row>
    <row r="715" spans="1:10" x14ac:dyDescent="0.25">
      <c r="A715">
        <v>714</v>
      </c>
      <c r="B715" s="1" t="s">
        <v>20</v>
      </c>
      <c r="C715">
        <v>59</v>
      </c>
      <c r="D715" s="1" t="s">
        <v>45</v>
      </c>
      <c r="E715" s="1" t="s">
        <v>31</v>
      </c>
      <c r="F715" s="1" t="s">
        <v>28</v>
      </c>
      <c r="G715" s="2">
        <v>45152</v>
      </c>
      <c r="H715">
        <v>4</v>
      </c>
      <c r="I715">
        <v>3893</v>
      </c>
      <c r="J715" s="1" t="s">
        <v>24</v>
      </c>
    </row>
    <row r="716" spans="1:10" x14ac:dyDescent="0.25">
      <c r="A716">
        <v>715</v>
      </c>
      <c r="B716" s="1" t="s">
        <v>20</v>
      </c>
      <c r="C716">
        <v>26</v>
      </c>
      <c r="D716" s="1" t="s">
        <v>30</v>
      </c>
      <c r="E716" s="1" t="s">
        <v>27</v>
      </c>
      <c r="F716" s="1" t="s">
        <v>32</v>
      </c>
      <c r="G716" s="2">
        <v>45154</v>
      </c>
      <c r="H716">
        <v>11</v>
      </c>
      <c r="I716">
        <v>32573</v>
      </c>
      <c r="J716" s="1" t="s">
        <v>24</v>
      </c>
    </row>
    <row r="717" spans="1:10" x14ac:dyDescent="0.25">
      <c r="A717">
        <v>716</v>
      </c>
      <c r="B717" s="1" t="s">
        <v>20</v>
      </c>
      <c r="C717">
        <v>26</v>
      </c>
      <c r="D717" s="1" t="s">
        <v>45</v>
      </c>
      <c r="E717" s="1" t="s">
        <v>27</v>
      </c>
      <c r="F717" s="1" t="s">
        <v>16</v>
      </c>
      <c r="G717" s="2">
        <v>45103</v>
      </c>
      <c r="H717">
        <v>9</v>
      </c>
      <c r="I717">
        <v>33371</v>
      </c>
      <c r="J717" s="1" t="s">
        <v>24</v>
      </c>
    </row>
    <row r="718" spans="1:10" x14ac:dyDescent="0.25">
      <c r="A718">
        <v>717</v>
      </c>
      <c r="B718" s="1" t="s">
        <v>13</v>
      </c>
      <c r="C718">
        <v>47</v>
      </c>
      <c r="D718" s="1" t="s">
        <v>30</v>
      </c>
      <c r="E718" s="1" t="s">
        <v>15</v>
      </c>
      <c r="F718" s="1" t="s">
        <v>28</v>
      </c>
      <c r="G718" s="2">
        <v>45153</v>
      </c>
      <c r="H718">
        <v>14</v>
      </c>
      <c r="I718">
        <v>42874</v>
      </c>
      <c r="J718" s="1" t="s">
        <v>39</v>
      </c>
    </row>
    <row r="719" spans="1:10" x14ac:dyDescent="0.25">
      <c r="A719">
        <v>718</v>
      </c>
      <c r="B719" s="1" t="s">
        <v>20</v>
      </c>
      <c r="C719">
        <v>32</v>
      </c>
      <c r="D719" s="1" t="s">
        <v>37</v>
      </c>
      <c r="E719" s="1" t="s">
        <v>15</v>
      </c>
      <c r="F719" s="1" t="s">
        <v>32</v>
      </c>
      <c r="G719" s="2">
        <v>45192</v>
      </c>
      <c r="H719">
        <v>8</v>
      </c>
      <c r="I719">
        <v>13826</v>
      </c>
      <c r="J719" s="1" t="s">
        <v>24</v>
      </c>
    </row>
    <row r="720" spans="1:10" x14ac:dyDescent="0.25">
      <c r="A720">
        <v>719</v>
      </c>
      <c r="B720" s="1" t="s">
        <v>20</v>
      </c>
      <c r="C720">
        <v>10</v>
      </c>
      <c r="D720" s="1" t="s">
        <v>14</v>
      </c>
      <c r="E720" s="1" t="s">
        <v>27</v>
      </c>
      <c r="F720" s="1" t="s">
        <v>32</v>
      </c>
      <c r="G720" s="2">
        <v>45052</v>
      </c>
      <c r="H720">
        <v>13</v>
      </c>
      <c r="I720">
        <v>36420</v>
      </c>
      <c r="J720" s="1" t="s">
        <v>24</v>
      </c>
    </row>
    <row r="721" spans="1:10" x14ac:dyDescent="0.25">
      <c r="A721">
        <v>720</v>
      </c>
      <c r="B721" s="1" t="s">
        <v>20</v>
      </c>
      <c r="C721">
        <v>16</v>
      </c>
      <c r="D721" s="1" t="s">
        <v>30</v>
      </c>
      <c r="E721" s="1" t="s">
        <v>35</v>
      </c>
      <c r="F721" s="1" t="s">
        <v>28</v>
      </c>
      <c r="G721" s="2">
        <v>45208</v>
      </c>
      <c r="H721">
        <v>13</v>
      </c>
      <c r="I721">
        <v>23924</v>
      </c>
      <c r="J721" s="1" t="s">
        <v>39</v>
      </c>
    </row>
    <row r="722" spans="1:10" x14ac:dyDescent="0.25">
      <c r="A722">
        <v>721</v>
      </c>
      <c r="B722" s="1" t="s">
        <v>20</v>
      </c>
      <c r="C722">
        <v>71</v>
      </c>
      <c r="D722" s="1" t="s">
        <v>34</v>
      </c>
      <c r="E722" s="1" t="s">
        <v>27</v>
      </c>
      <c r="F722" s="1" t="s">
        <v>28</v>
      </c>
      <c r="G722" s="2">
        <v>45157</v>
      </c>
      <c r="H722">
        <v>1</v>
      </c>
      <c r="I722">
        <v>35367</v>
      </c>
      <c r="J722" s="1" t="s">
        <v>39</v>
      </c>
    </row>
    <row r="723" spans="1:10" x14ac:dyDescent="0.25">
      <c r="A723">
        <v>722</v>
      </c>
      <c r="B723" s="1" t="s">
        <v>13</v>
      </c>
      <c r="C723">
        <v>17</v>
      </c>
      <c r="D723" s="1" t="s">
        <v>14</v>
      </c>
      <c r="E723" s="1" t="s">
        <v>27</v>
      </c>
      <c r="F723" s="1" t="s">
        <v>23</v>
      </c>
      <c r="G723" s="2">
        <v>45004</v>
      </c>
      <c r="H723">
        <v>1</v>
      </c>
      <c r="I723">
        <v>23199</v>
      </c>
      <c r="J723" s="1" t="s">
        <v>24</v>
      </c>
    </row>
    <row r="724" spans="1:10" x14ac:dyDescent="0.25">
      <c r="A724">
        <v>723</v>
      </c>
      <c r="B724" s="1" t="s">
        <v>20</v>
      </c>
      <c r="C724">
        <v>23</v>
      </c>
      <c r="D724" s="1" t="s">
        <v>30</v>
      </c>
      <c r="E724" s="1" t="s">
        <v>22</v>
      </c>
      <c r="F724" s="1" t="s">
        <v>16</v>
      </c>
      <c r="G724" s="2">
        <v>44953</v>
      </c>
      <c r="H724">
        <v>5</v>
      </c>
      <c r="I724">
        <v>27868</v>
      </c>
      <c r="J724" s="1" t="s">
        <v>24</v>
      </c>
    </row>
    <row r="725" spans="1:10" x14ac:dyDescent="0.25">
      <c r="A725">
        <v>724</v>
      </c>
      <c r="B725" s="1" t="s">
        <v>13</v>
      </c>
      <c r="C725">
        <v>26</v>
      </c>
      <c r="D725" s="1" t="s">
        <v>14</v>
      </c>
      <c r="E725" s="1" t="s">
        <v>22</v>
      </c>
      <c r="F725" s="1" t="s">
        <v>16</v>
      </c>
      <c r="G725" s="2">
        <v>45237</v>
      </c>
      <c r="H725">
        <v>6</v>
      </c>
      <c r="I725">
        <v>10792</v>
      </c>
      <c r="J725" s="1" t="s">
        <v>24</v>
      </c>
    </row>
    <row r="726" spans="1:10" x14ac:dyDescent="0.25">
      <c r="A726">
        <v>725</v>
      </c>
      <c r="B726" s="1" t="s">
        <v>13</v>
      </c>
      <c r="C726">
        <v>85</v>
      </c>
      <c r="D726" s="1" t="s">
        <v>14</v>
      </c>
      <c r="E726" s="1" t="s">
        <v>22</v>
      </c>
      <c r="F726" s="1" t="s">
        <v>23</v>
      </c>
      <c r="G726" s="2">
        <v>44981</v>
      </c>
      <c r="H726">
        <v>3</v>
      </c>
      <c r="I726">
        <v>22597</v>
      </c>
      <c r="J726" s="1" t="s">
        <v>39</v>
      </c>
    </row>
    <row r="727" spans="1:10" x14ac:dyDescent="0.25">
      <c r="A727">
        <v>726</v>
      </c>
      <c r="B727" s="1" t="s">
        <v>13</v>
      </c>
      <c r="C727">
        <v>86</v>
      </c>
      <c r="D727" s="1" t="s">
        <v>14</v>
      </c>
      <c r="E727" s="1" t="s">
        <v>35</v>
      </c>
      <c r="F727" s="1" t="s">
        <v>32</v>
      </c>
      <c r="G727" s="2">
        <v>45132</v>
      </c>
      <c r="H727">
        <v>13</v>
      </c>
      <c r="I727">
        <v>38405</v>
      </c>
      <c r="J727" s="1" t="s">
        <v>24</v>
      </c>
    </row>
    <row r="728" spans="1:10" x14ac:dyDescent="0.25">
      <c r="A728">
        <v>727</v>
      </c>
      <c r="B728" s="1" t="s">
        <v>13</v>
      </c>
      <c r="C728">
        <v>7</v>
      </c>
      <c r="D728" s="1" t="s">
        <v>37</v>
      </c>
      <c r="E728" s="1" t="s">
        <v>35</v>
      </c>
      <c r="F728" s="1" t="s">
        <v>28</v>
      </c>
      <c r="G728" s="2">
        <v>45134</v>
      </c>
      <c r="H728">
        <v>9</v>
      </c>
      <c r="I728">
        <v>34696</v>
      </c>
      <c r="J728" s="1" t="s">
        <v>24</v>
      </c>
    </row>
    <row r="729" spans="1:10" x14ac:dyDescent="0.25">
      <c r="A729">
        <v>728</v>
      </c>
      <c r="B729" s="1" t="s">
        <v>13</v>
      </c>
      <c r="C729">
        <v>14</v>
      </c>
      <c r="D729" s="1" t="s">
        <v>34</v>
      </c>
      <c r="E729" s="1" t="s">
        <v>27</v>
      </c>
      <c r="F729" s="1" t="s">
        <v>28</v>
      </c>
      <c r="G729" s="2">
        <v>44990</v>
      </c>
      <c r="H729">
        <v>12</v>
      </c>
      <c r="I729">
        <v>45123</v>
      </c>
      <c r="J729" s="1" t="s">
        <v>39</v>
      </c>
    </row>
    <row r="730" spans="1:10" x14ac:dyDescent="0.25">
      <c r="A730">
        <v>729</v>
      </c>
      <c r="B730" s="1" t="s">
        <v>13</v>
      </c>
      <c r="C730">
        <v>79</v>
      </c>
      <c r="D730" s="1" t="s">
        <v>21</v>
      </c>
      <c r="E730" s="1" t="s">
        <v>22</v>
      </c>
      <c r="F730" s="1" t="s">
        <v>28</v>
      </c>
      <c r="G730" s="2">
        <v>45167</v>
      </c>
      <c r="H730">
        <v>10</v>
      </c>
      <c r="I730">
        <v>17989</v>
      </c>
      <c r="J730" s="1" t="s">
        <v>24</v>
      </c>
    </row>
    <row r="731" spans="1:10" x14ac:dyDescent="0.25">
      <c r="A731">
        <v>730</v>
      </c>
      <c r="B731" s="1" t="s">
        <v>20</v>
      </c>
      <c r="C731">
        <v>7</v>
      </c>
      <c r="D731" s="1" t="s">
        <v>21</v>
      </c>
      <c r="E731" s="1" t="s">
        <v>35</v>
      </c>
      <c r="F731" s="1" t="s">
        <v>32</v>
      </c>
      <c r="G731" s="2">
        <v>44967</v>
      </c>
      <c r="H731">
        <v>14</v>
      </c>
      <c r="I731">
        <v>30931</v>
      </c>
      <c r="J731" s="1" t="s">
        <v>24</v>
      </c>
    </row>
    <row r="732" spans="1:10" x14ac:dyDescent="0.25">
      <c r="A732">
        <v>731</v>
      </c>
      <c r="B732" s="1" t="s">
        <v>13</v>
      </c>
      <c r="C732">
        <v>9</v>
      </c>
      <c r="D732" s="1" t="s">
        <v>30</v>
      </c>
      <c r="E732" s="1" t="s">
        <v>15</v>
      </c>
      <c r="F732" s="1" t="s">
        <v>28</v>
      </c>
      <c r="G732" s="2">
        <v>45147</v>
      </c>
      <c r="H732">
        <v>6</v>
      </c>
      <c r="I732">
        <v>11290</v>
      </c>
      <c r="J732" s="1" t="s">
        <v>24</v>
      </c>
    </row>
    <row r="733" spans="1:10" x14ac:dyDescent="0.25">
      <c r="A733">
        <v>732</v>
      </c>
      <c r="B733" s="1" t="s">
        <v>13</v>
      </c>
      <c r="C733">
        <v>48</v>
      </c>
      <c r="D733" s="1" t="s">
        <v>14</v>
      </c>
      <c r="E733" s="1" t="s">
        <v>27</v>
      </c>
      <c r="F733" s="1" t="s">
        <v>28</v>
      </c>
      <c r="G733" s="2">
        <v>45116</v>
      </c>
      <c r="H733">
        <v>4</v>
      </c>
      <c r="I733">
        <v>40367</v>
      </c>
      <c r="J733" s="1" t="s">
        <v>24</v>
      </c>
    </row>
    <row r="734" spans="1:10" x14ac:dyDescent="0.25">
      <c r="A734">
        <v>733</v>
      </c>
      <c r="B734" s="1" t="s">
        <v>13</v>
      </c>
      <c r="C734">
        <v>72</v>
      </c>
      <c r="D734" s="1" t="s">
        <v>30</v>
      </c>
      <c r="E734" s="1" t="s">
        <v>31</v>
      </c>
      <c r="F734" s="1" t="s">
        <v>23</v>
      </c>
      <c r="G734" s="2">
        <v>45269</v>
      </c>
      <c r="H734">
        <v>12</v>
      </c>
      <c r="I734">
        <v>16342</v>
      </c>
      <c r="J734" s="1" t="s">
        <v>24</v>
      </c>
    </row>
    <row r="735" spans="1:10" x14ac:dyDescent="0.25">
      <c r="A735">
        <v>734</v>
      </c>
      <c r="B735" s="1" t="s">
        <v>20</v>
      </c>
      <c r="C735">
        <v>59</v>
      </c>
      <c r="D735" s="1" t="s">
        <v>37</v>
      </c>
      <c r="E735" s="1" t="s">
        <v>27</v>
      </c>
      <c r="F735" s="1" t="s">
        <v>32</v>
      </c>
      <c r="G735" s="2">
        <v>45098</v>
      </c>
      <c r="H735">
        <v>7</v>
      </c>
      <c r="I735">
        <v>26941</v>
      </c>
      <c r="J735" s="1" t="s">
        <v>24</v>
      </c>
    </row>
    <row r="736" spans="1:10" x14ac:dyDescent="0.25">
      <c r="A736">
        <v>735</v>
      </c>
      <c r="B736" s="1" t="s">
        <v>20</v>
      </c>
      <c r="C736">
        <v>87</v>
      </c>
      <c r="D736" s="1" t="s">
        <v>37</v>
      </c>
      <c r="E736" s="1" t="s">
        <v>31</v>
      </c>
      <c r="F736" s="1" t="s">
        <v>16</v>
      </c>
      <c r="G736" s="2">
        <v>45140</v>
      </c>
      <c r="H736">
        <v>8</v>
      </c>
      <c r="I736">
        <v>15945</v>
      </c>
      <c r="J736" s="1" t="s">
        <v>24</v>
      </c>
    </row>
    <row r="737" spans="1:10" x14ac:dyDescent="0.25">
      <c r="A737">
        <v>736</v>
      </c>
      <c r="B737" s="1" t="s">
        <v>13</v>
      </c>
      <c r="C737">
        <v>82</v>
      </c>
      <c r="D737" s="1" t="s">
        <v>45</v>
      </c>
      <c r="E737" s="1" t="s">
        <v>22</v>
      </c>
      <c r="F737" s="1" t="s">
        <v>23</v>
      </c>
      <c r="G737" s="2">
        <v>44952</v>
      </c>
      <c r="H737">
        <v>9</v>
      </c>
      <c r="I737">
        <v>12762</v>
      </c>
      <c r="J737" s="1" t="s">
        <v>24</v>
      </c>
    </row>
    <row r="738" spans="1:10" x14ac:dyDescent="0.25">
      <c r="A738">
        <v>737</v>
      </c>
      <c r="B738" s="1" t="s">
        <v>20</v>
      </c>
      <c r="C738">
        <v>39</v>
      </c>
      <c r="D738" s="1" t="s">
        <v>37</v>
      </c>
      <c r="E738" s="1" t="s">
        <v>31</v>
      </c>
      <c r="F738" s="1" t="s">
        <v>23</v>
      </c>
      <c r="G738" s="2">
        <v>45158</v>
      </c>
      <c r="H738">
        <v>13</v>
      </c>
      <c r="I738">
        <v>32133</v>
      </c>
      <c r="J738" s="1" t="s">
        <v>24</v>
      </c>
    </row>
    <row r="739" spans="1:10" x14ac:dyDescent="0.25">
      <c r="A739">
        <v>738</v>
      </c>
      <c r="B739" s="1" t="s">
        <v>13</v>
      </c>
      <c r="C739">
        <v>18</v>
      </c>
      <c r="D739" s="1" t="s">
        <v>45</v>
      </c>
      <c r="E739" s="1" t="s">
        <v>22</v>
      </c>
      <c r="F739" s="1" t="s">
        <v>16</v>
      </c>
      <c r="G739" s="2">
        <v>45221</v>
      </c>
      <c r="H739">
        <v>11</v>
      </c>
      <c r="I739">
        <v>49080</v>
      </c>
      <c r="J739" s="1" t="s">
        <v>17</v>
      </c>
    </row>
    <row r="740" spans="1:10" x14ac:dyDescent="0.25">
      <c r="A740">
        <v>739</v>
      </c>
      <c r="B740" s="1" t="s">
        <v>13</v>
      </c>
      <c r="C740">
        <v>59</v>
      </c>
      <c r="D740" s="1" t="s">
        <v>34</v>
      </c>
      <c r="E740" s="1" t="s">
        <v>15</v>
      </c>
      <c r="F740" s="1" t="s">
        <v>23</v>
      </c>
      <c r="G740" s="2">
        <v>45114</v>
      </c>
      <c r="H740">
        <v>6</v>
      </c>
      <c r="I740">
        <v>42150</v>
      </c>
      <c r="J740" s="1" t="s">
        <v>17</v>
      </c>
    </row>
    <row r="741" spans="1:10" x14ac:dyDescent="0.25">
      <c r="A741">
        <v>740</v>
      </c>
      <c r="B741" s="1" t="s">
        <v>20</v>
      </c>
      <c r="C741">
        <v>17</v>
      </c>
      <c r="D741" s="1" t="s">
        <v>30</v>
      </c>
      <c r="E741" s="1" t="s">
        <v>31</v>
      </c>
      <c r="F741" s="1" t="s">
        <v>32</v>
      </c>
      <c r="G741" s="2">
        <v>44977</v>
      </c>
      <c r="H741">
        <v>6</v>
      </c>
      <c r="I741">
        <v>29052</v>
      </c>
      <c r="J741" s="1" t="s">
        <v>24</v>
      </c>
    </row>
    <row r="742" spans="1:10" x14ac:dyDescent="0.25">
      <c r="A742">
        <v>741</v>
      </c>
      <c r="B742" s="1" t="s">
        <v>13</v>
      </c>
      <c r="C742">
        <v>14</v>
      </c>
      <c r="D742" s="1" t="s">
        <v>34</v>
      </c>
      <c r="E742" s="1" t="s">
        <v>27</v>
      </c>
      <c r="F742" s="1" t="s">
        <v>28</v>
      </c>
      <c r="G742" s="2">
        <v>45165</v>
      </c>
      <c r="H742">
        <v>8</v>
      </c>
      <c r="I742">
        <v>43750</v>
      </c>
      <c r="J742" s="1" t="s">
        <v>24</v>
      </c>
    </row>
    <row r="743" spans="1:10" x14ac:dyDescent="0.25">
      <c r="A743">
        <v>742</v>
      </c>
      <c r="B743" s="1" t="s">
        <v>20</v>
      </c>
      <c r="C743">
        <v>31</v>
      </c>
      <c r="D743" s="1" t="s">
        <v>37</v>
      </c>
      <c r="E743" s="1" t="s">
        <v>22</v>
      </c>
      <c r="F743" s="1" t="s">
        <v>32</v>
      </c>
      <c r="G743" s="2">
        <v>45141</v>
      </c>
      <c r="H743">
        <v>12</v>
      </c>
      <c r="I743">
        <v>21953</v>
      </c>
      <c r="J743" s="1" t="s">
        <v>24</v>
      </c>
    </row>
    <row r="744" spans="1:10" x14ac:dyDescent="0.25">
      <c r="A744">
        <v>743</v>
      </c>
      <c r="B744" s="1" t="s">
        <v>20</v>
      </c>
      <c r="C744">
        <v>24</v>
      </c>
      <c r="D744" s="1" t="s">
        <v>34</v>
      </c>
      <c r="E744" s="1" t="s">
        <v>27</v>
      </c>
      <c r="F744" s="1" t="s">
        <v>16</v>
      </c>
      <c r="G744" s="2">
        <v>45258</v>
      </c>
      <c r="H744">
        <v>5</v>
      </c>
      <c r="I744">
        <v>42475</v>
      </c>
      <c r="J744" s="1" t="s">
        <v>39</v>
      </c>
    </row>
    <row r="745" spans="1:10" x14ac:dyDescent="0.25">
      <c r="A745">
        <v>744</v>
      </c>
      <c r="B745" s="1" t="s">
        <v>13</v>
      </c>
      <c r="C745">
        <v>60</v>
      </c>
      <c r="D745" s="1" t="s">
        <v>34</v>
      </c>
      <c r="E745" s="1" t="s">
        <v>35</v>
      </c>
      <c r="F745" s="1" t="s">
        <v>16</v>
      </c>
      <c r="G745" s="2">
        <v>45209</v>
      </c>
      <c r="H745">
        <v>14</v>
      </c>
      <c r="I745">
        <v>19130</v>
      </c>
      <c r="J745" s="1" t="s">
        <v>24</v>
      </c>
    </row>
    <row r="746" spans="1:10" x14ac:dyDescent="0.25">
      <c r="A746">
        <v>745</v>
      </c>
      <c r="B746" s="1" t="s">
        <v>13</v>
      </c>
      <c r="C746">
        <v>45</v>
      </c>
      <c r="D746" s="1" t="s">
        <v>34</v>
      </c>
      <c r="E746" s="1" t="s">
        <v>22</v>
      </c>
      <c r="F746" s="1" t="s">
        <v>23</v>
      </c>
      <c r="G746" s="2">
        <v>45147</v>
      </c>
      <c r="H746">
        <v>3</v>
      </c>
      <c r="I746">
        <v>33086</v>
      </c>
      <c r="J746" s="1" t="s">
        <v>17</v>
      </c>
    </row>
    <row r="747" spans="1:10" x14ac:dyDescent="0.25">
      <c r="A747">
        <v>746</v>
      </c>
      <c r="B747" s="1" t="s">
        <v>20</v>
      </c>
      <c r="C747">
        <v>3</v>
      </c>
      <c r="D747" s="1" t="s">
        <v>37</v>
      </c>
      <c r="E747" s="1" t="s">
        <v>31</v>
      </c>
      <c r="F747" s="1" t="s">
        <v>32</v>
      </c>
      <c r="G747" s="2">
        <v>45281</v>
      </c>
      <c r="H747">
        <v>12</v>
      </c>
      <c r="I747">
        <v>6633</v>
      </c>
      <c r="J747" s="1" t="s">
        <v>24</v>
      </c>
    </row>
    <row r="748" spans="1:10" x14ac:dyDescent="0.25">
      <c r="A748">
        <v>747</v>
      </c>
      <c r="B748" s="1" t="s">
        <v>13</v>
      </c>
      <c r="C748">
        <v>37</v>
      </c>
      <c r="D748" s="1" t="s">
        <v>14</v>
      </c>
      <c r="E748" s="1" t="s">
        <v>22</v>
      </c>
      <c r="F748" s="1" t="s">
        <v>32</v>
      </c>
      <c r="G748" s="2">
        <v>44940</v>
      </c>
      <c r="H748">
        <v>3</v>
      </c>
      <c r="I748">
        <v>19304</v>
      </c>
      <c r="J748" s="1" t="s">
        <v>17</v>
      </c>
    </row>
    <row r="749" spans="1:10" x14ac:dyDescent="0.25">
      <c r="A749">
        <v>748</v>
      </c>
      <c r="B749" s="1" t="s">
        <v>13</v>
      </c>
      <c r="C749">
        <v>43</v>
      </c>
      <c r="D749" s="1" t="s">
        <v>34</v>
      </c>
      <c r="E749" s="1" t="s">
        <v>27</v>
      </c>
      <c r="F749" s="1" t="s">
        <v>16</v>
      </c>
      <c r="G749" s="2">
        <v>45149</v>
      </c>
      <c r="H749">
        <v>13</v>
      </c>
      <c r="I749">
        <v>44037</v>
      </c>
      <c r="J749" s="1" t="s">
        <v>39</v>
      </c>
    </row>
    <row r="750" spans="1:10" x14ac:dyDescent="0.25">
      <c r="A750">
        <v>749</v>
      </c>
      <c r="B750" s="1" t="s">
        <v>13</v>
      </c>
      <c r="C750">
        <v>40</v>
      </c>
      <c r="D750" s="1" t="s">
        <v>45</v>
      </c>
      <c r="E750" s="1" t="s">
        <v>15</v>
      </c>
      <c r="F750" s="1" t="s">
        <v>32</v>
      </c>
      <c r="G750" s="2">
        <v>45154</v>
      </c>
      <c r="H750">
        <v>6</v>
      </c>
      <c r="I750">
        <v>34284</v>
      </c>
      <c r="J750" s="1" t="s">
        <v>39</v>
      </c>
    </row>
    <row r="751" spans="1:10" x14ac:dyDescent="0.25">
      <c r="A751">
        <v>750</v>
      </c>
      <c r="B751" s="1" t="s">
        <v>20</v>
      </c>
      <c r="C751">
        <v>55</v>
      </c>
      <c r="D751" s="1" t="s">
        <v>37</v>
      </c>
      <c r="E751" s="1" t="s">
        <v>22</v>
      </c>
      <c r="F751" s="1" t="s">
        <v>16</v>
      </c>
      <c r="G751" s="2">
        <v>44972</v>
      </c>
      <c r="H751">
        <v>2</v>
      </c>
      <c r="I751">
        <v>48546</v>
      </c>
      <c r="J751" s="1" t="s">
        <v>24</v>
      </c>
    </row>
    <row r="752" spans="1:10" x14ac:dyDescent="0.25">
      <c r="A752">
        <v>751</v>
      </c>
      <c r="B752" s="1" t="s">
        <v>20</v>
      </c>
      <c r="C752">
        <v>87</v>
      </c>
      <c r="D752" s="1" t="s">
        <v>34</v>
      </c>
      <c r="E752" s="1" t="s">
        <v>31</v>
      </c>
      <c r="F752" s="1" t="s">
        <v>32</v>
      </c>
      <c r="G752" s="2">
        <v>45069</v>
      </c>
      <c r="H752">
        <v>6</v>
      </c>
      <c r="I752">
        <v>9008</v>
      </c>
      <c r="J752" s="1" t="s">
        <v>24</v>
      </c>
    </row>
    <row r="753" spans="1:10" x14ac:dyDescent="0.25">
      <c r="A753">
        <v>752</v>
      </c>
      <c r="B753" s="1" t="s">
        <v>13</v>
      </c>
      <c r="C753">
        <v>39</v>
      </c>
      <c r="D753" s="1" t="s">
        <v>14</v>
      </c>
      <c r="E753" s="1" t="s">
        <v>35</v>
      </c>
      <c r="F753" s="1" t="s">
        <v>32</v>
      </c>
      <c r="G753" s="2">
        <v>44958</v>
      </c>
      <c r="H753">
        <v>13</v>
      </c>
      <c r="I753">
        <v>29405</v>
      </c>
      <c r="J753" s="1" t="s">
        <v>24</v>
      </c>
    </row>
    <row r="754" spans="1:10" x14ac:dyDescent="0.25">
      <c r="A754">
        <v>753</v>
      </c>
      <c r="B754" s="1" t="s">
        <v>20</v>
      </c>
      <c r="C754">
        <v>15</v>
      </c>
      <c r="D754" s="1" t="s">
        <v>37</v>
      </c>
      <c r="E754" s="1" t="s">
        <v>15</v>
      </c>
      <c r="F754" s="1" t="s">
        <v>32</v>
      </c>
      <c r="G754" s="2">
        <v>44946</v>
      </c>
      <c r="H754">
        <v>6</v>
      </c>
      <c r="I754">
        <v>38386</v>
      </c>
      <c r="J754" s="1" t="s">
        <v>24</v>
      </c>
    </row>
    <row r="755" spans="1:10" x14ac:dyDescent="0.25">
      <c r="A755">
        <v>754</v>
      </c>
      <c r="B755" s="1" t="s">
        <v>20</v>
      </c>
      <c r="C755">
        <v>4</v>
      </c>
      <c r="D755" s="1" t="s">
        <v>21</v>
      </c>
      <c r="E755" s="1" t="s">
        <v>35</v>
      </c>
      <c r="F755" s="1" t="s">
        <v>16</v>
      </c>
      <c r="G755" s="2">
        <v>45146</v>
      </c>
      <c r="H755">
        <v>8</v>
      </c>
      <c r="I755">
        <v>27373</v>
      </c>
      <c r="J755" s="1" t="s">
        <v>24</v>
      </c>
    </row>
    <row r="756" spans="1:10" x14ac:dyDescent="0.25">
      <c r="A756">
        <v>755</v>
      </c>
      <c r="B756" s="1" t="s">
        <v>20</v>
      </c>
      <c r="C756">
        <v>86</v>
      </c>
      <c r="D756" s="1" t="s">
        <v>14</v>
      </c>
      <c r="E756" s="1" t="s">
        <v>22</v>
      </c>
      <c r="F756" s="1" t="s">
        <v>23</v>
      </c>
      <c r="G756" s="2">
        <v>45209</v>
      </c>
      <c r="H756">
        <v>7</v>
      </c>
      <c r="I756">
        <v>22827</v>
      </c>
      <c r="J756" s="1" t="s">
        <v>24</v>
      </c>
    </row>
    <row r="757" spans="1:10" x14ac:dyDescent="0.25">
      <c r="A757">
        <v>756</v>
      </c>
      <c r="B757" s="1" t="s">
        <v>20</v>
      </c>
      <c r="C757">
        <v>25</v>
      </c>
      <c r="D757" s="1" t="s">
        <v>45</v>
      </c>
      <c r="E757" s="1" t="s">
        <v>27</v>
      </c>
      <c r="F757" s="1" t="s">
        <v>32</v>
      </c>
      <c r="G757" s="2">
        <v>45187</v>
      </c>
      <c r="H757">
        <v>8</v>
      </c>
      <c r="I757">
        <v>35040</v>
      </c>
      <c r="J757" s="1" t="s">
        <v>24</v>
      </c>
    </row>
    <row r="758" spans="1:10" x14ac:dyDescent="0.25">
      <c r="A758">
        <v>757</v>
      </c>
      <c r="B758" s="1" t="s">
        <v>20</v>
      </c>
      <c r="C758">
        <v>13</v>
      </c>
      <c r="D758" s="1" t="s">
        <v>34</v>
      </c>
      <c r="E758" s="1" t="s">
        <v>27</v>
      </c>
      <c r="F758" s="1" t="s">
        <v>16</v>
      </c>
      <c r="G758" s="2">
        <v>45197</v>
      </c>
      <c r="H758">
        <v>14</v>
      </c>
      <c r="I758">
        <v>15007</v>
      </c>
      <c r="J758" s="1" t="s">
        <v>24</v>
      </c>
    </row>
    <row r="759" spans="1:10" x14ac:dyDescent="0.25">
      <c r="A759">
        <v>758</v>
      </c>
      <c r="B759" s="1" t="s">
        <v>13</v>
      </c>
      <c r="C759">
        <v>82</v>
      </c>
      <c r="D759" s="1" t="s">
        <v>21</v>
      </c>
      <c r="E759" s="1" t="s">
        <v>31</v>
      </c>
      <c r="F759" s="1" t="s">
        <v>16</v>
      </c>
      <c r="G759" s="2">
        <v>45213</v>
      </c>
      <c r="H759">
        <v>9</v>
      </c>
      <c r="I759">
        <v>20157</v>
      </c>
      <c r="J759" s="1" t="s">
        <v>24</v>
      </c>
    </row>
    <row r="760" spans="1:10" x14ac:dyDescent="0.25">
      <c r="A760">
        <v>759</v>
      </c>
      <c r="B760" s="1" t="s">
        <v>13</v>
      </c>
      <c r="C760">
        <v>33</v>
      </c>
      <c r="D760" s="1" t="s">
        <v>21</v>
      </c>
      <c r="E760" s="1" t="s">
        <v>27</v>
      </c>
      <c r="F760" s="1" t="s">
        <v>32</v>
      </c>
      <c r="G760" s="2">
        <v>45136</v>
      </c>
      <c r="H760">
        <v>6</v>
      </c>
      <c r="I760">
        <v>34157</v>
      </c>
      <c r="J760" s="1" t="s">
        <v>24</v>
      </c>
    </row>
    <row r="761" spans="1:10" x14ac:dyDescent="0.25">
      <c r="A761">
        <v>760</v>
      </c>
      <c r="B761" s="1" t="s">
        <v>13</v>
      </c>
      <c r="C761">
        <v>16</v>
      </c>
      <c r="D761" s="1" t="s">
        <v>37</v>
      </c>
      <c r="E761" s="1" t="s">
        <v>15</v>
      </c>
      <c r="F761" s="1" t="s">
        <v>32</v>
      </c>
      <c r="G761" s="2">
        <v>45147</v>
      </c>
      <c r="H761">
        <v>14</v>
      </c>
      <c r="I761">
        <v>37315</v>
      </c>
      <c r="J761" s="1" t="s">
        <v>17</v>
      </c>
    </row>
    <row r="762" spans="1:10" x14ac:dyDescent="0.25">
      <c r="A762">
        <v>761</v>
      </c>
      <c r="B762" s="1" t="s">
        <v>20</v>
      </c>
      <c r="C762">
        <v>42</v>
      </c>
      <c r="D762" s="1" t="s">
        <v>21</v>
      </c>
      <c r="E762" s="1" t="s">
        <v>27</v>
      </c>
      <c r="F762" s="1" t="s">
        <v>23</v>
      </c>
      <c r="G762" s="2">
        <v>44952</v>
      </c>
      <c r="H762">
        <v>3</v>
      </c>
      <c r="I762">
        <v>37932</v>
      </c>
      <c r="J762" s="1" t="s">
        <v>24</v>
      </c>
    </row>
    <row r="763" spans="1:10" x14ac:dyDescent="0.25">
      <c r="A763">
        <v>762</v>
      </c>
      <c r="B763" s="1" t="s">
        <v>20</v>
      </c>
      <c r="C763">
        <v>66</v>
      </c>
      <c r="D763" s="1" t="s">
        <v>45</v>
      </c>
      <c r="E763" s="1" t="s">
        <v>31</v>
      </c>
      <c r="F763" s="1" t="s">
        <v>16</v>
      </c>
      <c r="G763" s="2">
        <v>45138</v>
      </c>
      <c r="H763">
        <v>10</v>
      </c>
      <c r="I763">
        <v>23164</v>
      </c>
      <c r="J763" s="1" t="s">
        <v>24</v>
      </c>
    </row>
    <row r="764" spans="1:10" x14ac:dyDescent="0.25">
      <c r="A764">
        <v>763</v>
      </c>
      <c r="B764" s="1" t="s">
        <v>13</v>
      </c>
      <c r="C764">
        <v>55</v>
      </c>
      <c r="D764" s="1" t="s">
        <v>45</v>
      </c>
      <c r="E764" s="1" t="s">
        <v>22</v>
      </c>
      <c r="F764" s="1" t="s">
        <v>16</v>
      </c>
      <c r="G764" s="2">
        <v>44942</v>
      </c>
      <c r="H764">
        <v>3</v>
      </c>
      <c r="I764">
        <v>16414</v>
      </c>
      <c r="J764" s="1" t="s">
        <v>24</v>
      </c>
    </row>
    <row r="765" spans="1:10" x14ac:dyDescent="0.25">
      <c r="A765">
        <v>764</v>
      </c>
      <c r="B765" s="1" t="s">
        <v>20</v>
      </c>
      <c r="C765">
        <v>42</v>
      </c>
      <c r="D765" s="1" t="s">
        <v>30</v>
      </c>
      <c r="E765" s="1" t="s">
        <v>22</v>
      </c>
      <c r="F765" s="1" t="s">
        <v>28</v>
      </c>
      <c r="G765" s="2">
        <v>45239</v>
      </c>
      <c r="H765">
        <v>11</v>
      </c>
      <c r="I765">
        <v>16327</v>
      </c>
      <c r="J765" s="1" t="s">
        <v>39</v>
      </c>
    </row>
    <row r="766" spans="1:10" x14ac:dyDescent="0.25">
      <c r="A766">
        <v>765</v>
      </c>
      <c r="B766" s="1" t="s">
        <v>13</v>
      </c>
      <c r="C766">
        <v>34</v>
      </c>
      <c r="D766" s="1" t="s">
        <v>45</v>
      </c>
      <c r="E766" s="1" t="s">
        <v>27</v>
      </c>
      <c r="F766" s="1" t="s">
        <v>16</v>
      </c>
      <c r="G766" s="2">
        <v>45219</v>
      </c>
      <c r="H766">
        <v>12</v>
      </c>
      <c r="I766">
        <v>2946</v>
      </c>
      <c r="J766" s="1" t="s">
        <v>24</v>
      </c>
    </row>
    <row r="767" spans="1:10" x14ac:dyDescent="0.25">
      <c r="A767">
        <v>766</v>
      </c>
      <c r="B767" s="1" t="s">
        <v>13</v>
      </c>
      <c r="C767">
        <v>30</v>
      </c>
      <c r="D767" s="1" t="s">
        <v>14</v>
      </c>
      <c r="E767" s="1" t="s">
        <v>35</v>
      </c>
      <c r="F767" s="1" t="s">
        <v>23</v>
      </c>
      <c r="G767" s="2">
        <v>44953</v>
      </c>
      <c r="H767">
        <v>1</v>
      </c>
      <c r="I767">
        <v>16693</v>
      </c>
      <c r="J767" s="1" t="s">
        <v>24</v>
      </c>
    </row>
    <row r="768" spans="1:10" x14ac:dyDescent="0.25">
      <c r="A768">
        <v>767</v>
      </c>
      <c r="B768" s="1" t="s">
        <v>13</v>
      </c>
      <c r="C768">
        <v>13</v>
      </c>
      <c r="D768" s="1" t="s">
        <v>21</v>
      </c>
      <c r="E768" s="1" t="s">
        <v>22</v>
      </c>
      <c r="F768" s="1" t="s">
        <v>28</v>
      </c>
      <c r="G768" s="2">
        <v>45240</v>
      </c>
      <c r="H768">
        <v>11</v>
      </c>
      <c r="I768">
        <v>29241</v>
      </c>
      <c r="J768" s="1" t="s">
        <v>24</v>
      </c>
    </row>
    <row r="769" spans="1:10" x14ac:dyDescent="0.25">
      <c r="A769">
        <v>768</v>
      </c>
      <c r="B769" s="1" t="s">
        <v>20</v>
      </c>
      <c r="C769">
        <v>13</v>
      </c>
      <c r="D769" s="1" t="s">
        <v>45</v>
      </c>
      <c r="E769" s="1" t="s">
        <v>27</v>
      </c>
      <c r="F769" s="1" t="s">
        <v>28</v>
      </c>
      <c r="G769" s="2">
        <v>45176</v>
      </c>
      <c r="H769">
        <v>13</v>
      </c>
      <c r="I769">
        <v>32254</v>
      </c>
      <c r="J769" s="1" t="s">
        <v>24</v>
      </c>
    </row>
    <row r="770" spans="1:10" x14ac:dyDescent="0.25">
      <c r="A770">
        <v>769</v>
      </c>
      <c r="B770" s="1" t="s">
        <v>20</v>
      </c>
      <c r="C770">
        <v>18</v>
      </c>
      <c r="D770" s="1" t="s">
        <v>37</v>
      </c>
      <c r="E770" s="1" t="s">
        <v>31</v>
      </c>
      <c r="F770" s="1" t="s">
        <v>28</v>
      </c>
      <c r="G770" s="2">
        <v>45288</v>
      </c>
      <c r="H770">
        <v>5</v>
      </c>
      <c r="I770">
        <v>17540</v>
      </c>
      <c r="J770" s="1" t="s">
        <v>24</v>
      </c>
    </row>
    <row r="771" spans="1:10" x14ac:dyDescent="0.25">
      <c r="A771">
        <v>770</v>
      </c>
      <c r="B771" s="1" t="s">
        <v>13</v>
      </c>
      <c r="C771">
        <v>32</v>
      </c>
      <c r="D771" s="1" t="s">
        <v>30</v>
      </c>
      <c r="E771" s="1" t="s">
        <v>27</v>
      </c>
      <c r="F771" s="1" t="s">
        <v>32</v>
      </c>
      <c r="G771" s="2">
        <v>45255</v>
      </c>
      <c r="H771">
        <v>14</v>
      </c>
      <c r="I771">
        <v>8719</v>
      </c>
      <c r="J771" s="1" t="s">
        <v>17</v>
      </c>
    </row>
    <row r="772" spans="1:10" x14ac:dyDescent="0.25">
      <c r="A772">
        <v>771</v>
      </c>
      <c r="B772" s="1" t="s">
        <v>13</v>
      </c>
      <c r="C772">
        <v>39</v>
      </c>
      <c r="D772" s="1" t="s">
        <v>21</v>
      </c>
      <c r="E772" s="1" t="s">
        <v>22</v>
      </c>
      <c r="F772" s="1" t="s">
        <v>32</v>
      </c>
      <c r="G772" s="2">
        <v>45251</v>
      </c>
      <c r="H772">
        <v>4</v>
      </c>
      <c r="I772">
        <v>43203</v>
      </c>
      <c r="J772" s="1" t="s">
        <v>17</v>
      </c>
    </row>
    <row r="773" spans="1:10" x14ac:dyDescent="0.25">
      <c r="A773">
        <v>772</v>
      </c>
      <c r="B773" s="1" t="s">
        <v>13</v>
      </c>
      <c r="C773">
        <v>46</v>
      </c>
      <c r="D773" s="1" t="s">
        <v>30</v>
      </c>
      <c r="E773" s="1" t="s">
        <v>31</v>
      </c>
      <c r="F773" s="1" t="s">
        <v>16</v>
      </c>
      <c r="G773" s="2">
        <v>45161</v>
      </c>
      <c r="H773">
        <v>9</v>
      </c>
      <c r="I773">
        <v>27081</v>
      </c>
      <c r="J773" s="1" t="s">
        <v>24</v>
      </c>
    </row>
    <row r="774" spans="1:10" x14ac:dyDescent="0.25">
      <c r="A774">
        <v>773</v>
      </c>
      <c r="B774" s="1" t="s">
        <v>13</v>
      </c>
      <c r="C774">
        <v>29</v>
      </c>
      <c r="D774" s="1" t="s">
        <v>21</v>
      </c>
      <c r="E774" s="1" t="s">
        <v>27</v>
      </c>
      <c r="F774" s="1" t="s">
        <v>28</v>
      </c>
      <c r="G774" s="2">
        <v>45009</v>
      </c>
      <c r="H774">
        <v>9</v>
      </c>
      <c r="I774">
        <v>13350</v>
      </c>
      <c r="J774" s="1" t="s">
        <v>24</v>
      </c>
    </row>
    <row r="775" spans="1:10" x14ac:dyDescent="0.25">
      <c r="A775">
        <v>774</v>
      </c>
      <c r="B775" s="1" t="s">
        <v>20</v>
      </c>
      <c r="C775">
        <v>62</v>
      </c>
      <c r="D775" s="1" t="s">
        <v>37</v>
      </c>
      <c r="E775" s="1" t="s">
        <v>15</v>
      </c>
      <c r="F775" s="1" t="s">
        <v>23</v>
      </c>
      <c r="G775" s="2">
        <v>44963</v>
      </c>
      <c r="H775">
        <v>14</v>
      </c>
      <c r="I775">
        <v>38358</v>
      </c>
      <c r="J775" s="1" t="s">
        <v>24</v>
      </c>
    </row>
    <row r="776" spans="1:10" x14ac:dyDescent="0.25">
      <c r="A776">
        <v>775</v>
      </c>
      <c r="B776" s="1" t="s">
        <v>20</v>
      </c>
      <c r="C776">
        <v>62</v>
      </c>
      <c r="D776" s="1" t="s">
        <v>30</v>
      </c>
      <c r="E776" s="1" t="s">
        <v>31</v>
      </c>
      <c r="F776" s="1" t="s">
        <v>32</v>
      </c>
      <c r="G776" s="2">
        <v>45222</v>
      </c>
      <c r="H776">
        <v>5</v>
      </c>
      <c r="I776">
        <v>34021</v>
      </c>
      <c r="J776" s="1" t="s">
        <v>24</v>
      </c>
    </row>
    <row r="777" spans="1:10" x14ac:dyDescent="0.25">
      <c r="A777">
        <v>776</v>
      </c>
      <c r="B777" s="1" t="s">
        <v>13</v>
      </c>
      <c r="C777">
        <v>57</v>
      </c>
      <c r="D777" s="1" t="s">
        <v>34</v>
      </c>
      <c r="E777" s="1" t="s">
        <v>15</v>
      </c>
      <c r="F777" s="1" t="s">
        <v>23</v>
      </c>
      <c r="G777" s="2">
        <v>45247</v>
      </c>
      <c r="H777">
        <v>10</v>
      </c>
      <c r="I777">
        <v>44832</v>
      </c>
      <c r="J777" s="1" t="s">
        <v>24</v>
      </c>
    </row>
    <row r="778" spans="1:10" x14ac:dyDescent="0.25">
      <c r="A778">
        <v>777</v>
      </c>
      <c r="B778" s="1" t="s">
        <v>13</v>
      </c>
      <c r="C778">
        <v>16</v>
      </c>
      <c r="D778" s="1" t="s">
        <v>14</v>
      </c>
      <c r="E778" s="1" t="s">
        <v>35</v>
      </c>
      <c r="F778" s="1" t="s">
        <v>23</v>
      </c>
      <c r="G778" s="2">
        <v>44986</v>
      </c>
      <c r="H778">
        <v>4</v>
      </c>
      <c r="I778">
        <v>30369</v>
      </c>
      <c r="J778" s="1" t="s">
        <v>24</v>
      </c>
    </row>
    <row r="779" spans="1:10" x14ac:dyDescent="0.25">
      <c r="A779">
        <v>778</v>
      </c>
      <c r="B779" s="1" t="s">
        <v>20</v>
      </c>
      <c r="C779">
        <v>56</v>
      </c>
      <c r="D779" s="1" t="s">
        <v>14</v>
      </c>
      <c r="E779" s="1" t="s">
        <v>31</v>
      </c>
      <c r="F779" s="1" t="s">
        <v>32</v>
      </c>
      <c r="G779" s="2">
        <v>45005</v>
      </c>
      <c r="H779">
        <v>7</v>
      </c>
      <c r="I779">
        <v>33728</v>
      </c>
      <c r="J779" s="1" t="s">
        <v>17</v>
      </c>
    </row>
    <row r="780" spans="1:10" x14ac:dyDescent="0.25">
      <c r="A780">
        <v>779</v>
      </c>
      <c r="B780" s="1" t="s">
        <v>20</v>
      </c>
      <c r="C780">
        <v>10</v>
      </c>
      <c r="D780" s="1" t="s">
        <v>21</v>
      </c>
      <c r="E780" s="1" t="s">
        <v>15</v>
      </c>
      <c r="F780" s="1" t="s">
        <v>32</v>
      </c>
      <c r="G780" s="2">
        <v>45087</v>
      </c>
      <c r="H780">
        <v>6</v>
      </c>
      <c r="I780">
        <v>19576</v>
      </c>
      <c r="J780" s="1" t="s">
        <v>17</v>
      </c>
    </row>
    <row r="781" spans="1:10" x14ac:dyDescent="0.25">
      <c r="A781">
        <v>780</v>
      </c>
      <c r="B781" s="1" t="s">
        <v>13</v>
      </c>
      <c r="C781">
        <v>30</v>
      </c>
      <c r="D781" s="1" t="s">
        <v>34</v>
      </c>
      <c r="E781" s="1" t="s">
        <v>22</v>
      </c>
      <c r="F781" s="1" t="s">
        <v>32</v>
      </c>
      <c r="G781" s="2">
        <v>44948</v>
      </c>
      <c r="H781">
        <v>4</v>
      </c>
      <c r="I781">
        <v>31001</v>
      </c>
      <c r="J781" s="1" t="s">
        <v>24</v>
      </c>
    </row>
    <row r="782" spans="1:10" x14ac:dyDescent="0.25">
      <c r="A782">
        <v>781</v>
      </c>
      <c r="B782" s="1" t="s">
        <v>13</v>
      </c>
      <c r="C782">
        <v>25</v>
      </c>
      <c r="D782" s="1" t="s">
        <v>30</v>
      </c>
      <c r="E782" s="1" t="s">
        <v>22</v>
      </c>
      <c r="F782" s="1" t="s">
        <v>32</v>
      </c>
      <c r="G782" s="2">
        <v>45008</v>
      </c>
      <c r="H782">
        <v>13</v>
      </c>
      <c r="I782">
        <v>19848</v>
      </c>
      <c r="J782" s="1" t="s">
        <v>24</v>
      </c>
    </row>
    <row r="783" spans="1:10" x14ac:dyDescent="0.25">
      <c r="A783">
        <v>782</v>
      </c>
      <c r="B783" s="1" t="s">
        <v>13</v>
      </c>
      <c r="C783">
        <v>84</v>
      </c>
      <c r="D783" s="1" t="s">
        <v>34</v>
      </c>
      <c r="E783" s="1" t="s">
        <v>35</v>
      </c>
      <c r="F783" s="1" t="s">
        <v>28</v>
      </c>
      <c r="G783" s="2">
        <v>44992</v>
      </c>
      <c r="H783">
        <v>13</v>
      </c>
      <c r="I783">
        <v>2390</v>
      </c>
      <c r="J783" s="1" t="s">
        <v>24</v>
      </c>
    </row>
    <row r="784" spans="1:10" x14ac:dyDescent="0.25">
      <c r="A784">
        <v>783</v>
      </c>
      <c r="B784" s="1" t="s">
        <v>20</v>
      </c>
      <c r="C784">
        <v>5</v>
      </c>
      <c r="D784" s="1" t="s">
        <v>34</v>
      </c>
      <c r="E784" s="1" t="s">
        <v>31</v>
      </c>
      <c r="F784" s="1" t="s">
        <v>28</v>
      </c>
      <c r="G784" s="2">
        <v>45044</v>
      </c>
      <c r="H784">
        <v>10</v>
      </c>
      <c r="I784">
        <v>23999</v>
      </c>
      <c r="J784" s="1" t="s">
        <v>24</v>
      </c>
    </row>
    <row r="785" spans="1:10" x14ac:dyDescent="0.25">
      <c r="A785">
        <v>784</v>
      </c>
      <c r="B785" s="1" t="s">
        <v>20</v>
      </c>
      <c r="C785">
        <v>65</v>
      </c>
      <c r="D785" s="1" t="s">
        <v>30</v>
      </c>
      <c r="E785" s="1" t="s">
        <v>31</v>
      </c>
      <c r="F785" s="1" t="s">
        <v>28</v>
      </c>
      <c r="G785" s="2">
        <v>45191</v>
      </c>
      <c r="H785">
        <v>2</v>
      </c>
      <c r="I785">
        <v>47436</v>
      </c>
      <c r="J785" s="1" t="s">
        <v>24</v>
      </c>
    </row>
    <row r="786" spans="1:10" x14ac:dyDescent="0.25">
      <c r="A786">
        <v>785</v>
      </c>
      <c r="B786" s="1" t="s">
        <v>20</v>
      </c>
      <c r="C786">
        <v>49</v>
      </c>
      <c r="D786" s="1" t="s">
        <v>37</v>
      </c>
      <c r="E786" s="1" t="s">
        <v>31</v>
      </c>
      <c r="F786" s="1" t="s">
        <v>28</v>
      </c>
      <c r="G786" s="2">
        <v>45064</v>
      </c>
      <c r="H786">
        <v>1</v>
      </c>
      <c r="I786">
        <v>13569</v>
      </c>
      <c r="J786" s="1" t="s">
        <v>24</v>
      </c>
    </row>
    <row r="787" spans="1:10" x14ac:dyDescent="0.25">
      <c r="A787">
        <v>786</v>
      </c>
      <c r="B787" s="1" t="s">
        <v>13</v>
      </c>
      <c r="C787">
        <v>3</v>
      </c>
      <c r="D787" s="1" t="s">
        <v>34</v>
      </c>
      <c r="E787" s="1" t="s">
        <v>35</v>
      </c>
      <c r="F787" s="1" t="s">
        <v>16</v>
      </c>
      <c r="G787" s="2">
        <v>45134</v>
      </c>
      <c r="H787">
        <v>4</v>
      </c>
      <c r="I787">
        <v>15029</v>
      </c>
      <c r="J787" s="1" t="s">
        <v>39</v>
      </c>
    </row>
    <row r="788" spans="1:10" x14ac:dyDescent="0.25">
      <c r="A788">
        <v>787</v>
      </c>
      <c r="B788" s="1" t="s">
        <v>13</v>
      </c>
      <c r="C788">
        <v>45</v>
      </c>
      <c r="D788" s="1" t="s">
        <v>34</v>
      </c>
      <c r="E788" s="1" t="s">
        <v>31</v>
      </c>
      <c r="F788" s="1" t="s">
        <v>28</v>
      </c>
      <c r="G788" s="2">
        <v>45016</v>
      </c>
      <c r="H788">
        <v>4</v>
      </c>
      <c r="I788">
        <v>24490</v>
      </c>
      <c r="J788" s="1" t="s">
        <v>39</v>
      </c>
    </row>
    <row r="789" spans="1:10" x14ac:dyDescent="0.25">
      <c r="A789">
        <v>788</v>
      </c>
      <c r="B789" s="1" t="s">
        <v>20</v>
      </c>
      <c r="C789">
        <v>14</v>
      </c>
      <c r="D789" s="1" t="s">
        <v>37</v>
      </c>
      <c r="E789" s="1" t="s">
        <v>22</v>
      </c>
      <c r="F789" s="1" t="s">
        <v>32</v>
      </c>
      <c r="G789" s="2">
        <v>44991</v>
      </c>
      <c r="H789">
        <v>13</v>
      </c>
      <c r="I789">
        <v>47875</v>
      </c>
      <c r="J789" s="1" t="s">
        <v>24</v>
      </c>
    </row>
    <row r="790" spans="1:10" x14ac:dyDescent="0.25">
      <c r="A790">
        <v>789</v>
      </c>
      <c r="B790" s="1" t="s">
        <v>20</v>
      </c>
      <c r="C790">
        <v>30</v>
      </c>
      <c r="D790" s="1" t="s">
        <v>34</v>
      </c>
      <c r="E790" s="1" t="s">
        <v>15</v>
      </c>
      <c r="F790" s="1" t="s">
        <v>23</v>
      </c>
      <c r="G790" s="2">
        <v>45284</v>
      </c>
      <c r="H790">
        <v>1</v>
      </c>
      <c r="I790">
        <v>37328</v>
      </c>
      <c r="J790" s="1" t="s">
        <v>24</v>
      </c>
    </row>
    <row r="791" spans="1:10" x14ac:dyDescent="0.25">
      <c r="A791">
        <v>790</v>
      </c>
      <c r="B791" s="1" t="s">
        <v>13</v>
      </c>
      <c r="C791">
        <v>68</v>
      </c>
      <c r="D791" s="1" t="s">
        <v>34</v>
      </c>
      <c r="E791" s="1" t="s">
        <v>22</v>
      </c>
      <c r="F791" s="1" t="s">
        <v>28</v>
      </c>
      <c r="G791" s="2">
        <v>45118</v>
      </c>
      <c r="H791">
        <v>6</v>
      </c>
      <c r="I791">
        <v>7867</v>
      </c>
      <c r="J791" s="1" t="s">
        <v>24</v>
      </c>
    </row>
    <row r="792" spans="1:10" x14ac:dyDescent="0.25">
      <c r="A792">
        <v>791</v>
      </c>
      <c r="B792" s="1" t="s">
        <v>20</v>
      </c>
      <c r="C792">
        <v>18</v>
      </c>
      <c r="D792" s="1" t="s">
        <v>34</v>
      </c>
      <c r="E792" s="1" t="s">
        <v>22</v>
      </c>
      <c r="F792" s="1" t="s">
        <v>16</v>
      </c>
      <c r="G792" s="2">
        <v>45167</v>
      </c>
      <c r="H792">
        <v>4</v>
      </c>
      <c r="I792">
        <v>17284</v>
      </c>
      <c r="J792" s="1" t="s">
        <v>24</v>
      </c>
    </row>
    <row r="793" spans="1:10" x14ac:dyDescent="0.25">
      <c r="A793">
        <v>792</v>
      </c>
      <c r="B793" s="1" t="s">
        <v>20</v>
      </c>
      <c r="C793">
        <v>62</v>
      </c>
      <c r="D793" s="1" t="s">
        <v>14</v>
      </c>
      <c r="E793" s="1" t="s">
        <v>15</v>
      </c>
      <c r="F793" s="1" t="s">
        <v>32</v>
      </c>
      <c r="G793" s="2">
        <v>45134</v>
      </c>
      <c r="H793">
        <v>1</v>
      </c>
      <c r="I793">
        <v>35979</v>
      </c>
      <c r="J793" s="1" t="s">
        <v>24</v>
      </c>
    </row>
    <row r="794" spans="1:10" x14ac:dyDescent="0.25">
      <c r="A794">
        <v>793</v>
      </c>
      <c r="B794" s="1" t="s">
        <v>13</v>
      </c>
      <c r="C794">
        <v>37</v>
      </c>
      <c r="D794" s="1" t="s">
        <v>45</v>
      </c>
      <c r="E794" s="1" t="s">
        <v>22</v>
      </c>
      <c r="F794" s="1" t="s">
        <v>23</v>
      </c>
      <c r="G794" s="2">
        <v>45116</v>
      </c>
      <c r="H794">
        <v>1</v>
      </c>
      <c r="I794">
        <v>11121</v>
      </c>
      <c r="J794" s="1" t="s">
        <v>24</v>
      </c>
    </row>
    <row r="795" spans="1:10" x14ac:dyDescent="0.25">
      <c r="A795">
        <v>794</v>
      </c>
      <c r="B795" s="1" t="s">
        <v>20</v>
      </c>
      <c r="C795">
        <v>25</v>
      </c>
      <c r="D795" s="1" t="s">
        <v>37</v>
      </c>
      <c r="E795" s="1" t="s">
        <v>35</v>
      </c>
      <c r="F795" s="1" t="s">
        <v>23</v>
      </c>
      <c r="G795" s="2">
        <v>45239</v>
      </c>
      <c r="H795">
        <v>13</v>
      </c>
      <c r="I795">
        <v>3539</v>
      </c>
      <c r="J795" s="1" t="s">
        <v>24</v>
      </c>
    </row>
    <row r="796" spans="1:10" x14ac:dyDescent="0.25">
      <c r="A796">
        <v>795</v>
      </c>
      <c r="B796" s="1" t="s">
        <v>13</v>
      </c>
      <c r="C796">
        <v>48</v>
      </c>
      <c r="D796" s="1" t="s">
        <v>34</v>
      </c>
      <c r="E796" s="1" t="s">
        <v>15</v>
      </c>
      <c r="F796" s="1" t="s">
        <v>28</v>
      </c>
      <c r="G796" s="2">
        <v>45140</v>
      </c>
      <c r="H796">
        <v>1</v>
      </c>
      <c r="I796">
        <v>27488</v>
      </c>
      <c r="J796" s="1" t="s">
        <v>24</v>
      </c>
    </row>
    <row r="797" spans="1:10" x14ac:dyDescent="0.25">
      <c r="A797">
        <v>796</v>
      </c>
      <c r="B797" s="1" t="s">
        <v>13</v>
      </c>
      <c r="C797">
        <v>65</v>
      </c>
      <c r="D797" s="1" t="s">
        <v>14</v>
      </c>
      <c r="E797" s="1" t="s">
        <v>22</v>
      </c>
      <c r="F797" s="1" t="s">
        <v>23</v>
      </c>
      <c r="G797" s="2">
        <v>45085</v>
      </c>
      <c r="H797">
        <v>8</v>
      </c>
      <c r="I797">
        <v>19027</v>
      </c>
      <c r="J797" s="1" t="s">
        <v>17</v>
      </c>
    </row>
    <row r="798" spans="1:10" x14ac:dyDescent="0.25">
      <c r="A798">
        <v>797</v>
      </c>
      <c r="B798" s="1" t="s">
        <v>13</v>
      </c>
      <c r="C798">
        <v>53</v>
      </c>
      <c r="D798" s="1" t="s">
        <v>37</v>
      </c>
      <c r="E798" s="1" t="s">
        <v>27</v>
      </c>
      <c r="F798" s="1" t="s">
        <v>28</v>
      </c>
      <c r="G798" s="2">
        <v>45133</v>
      </c>
      <c r="H798">
        <v>10</v>
      </c>
      <c r="I798">
        <v>10693</v>
      </c>
      <c r="J798" s="1" t="s">
        <v>24</v>
      </c>
    </row>
    <row r="799" spans="1:10" x14ac:dyDescent="0.25">
      <c r="A799">
        <v>798</v>
      </c>
      <c r="B799" s="1" t="s">
        <v>13</v>
      </c>
      <c r="C799">
        <v>79</v>
      </c>
      <c r="D799" s="1" t="s">
        <v>21</v>
      </c>
      <c r="E799" s="1" t="s">
        <v>22</v>
      </c>
      <c r="F799" s="1" t="s">
        <v>28</v>
      </c>
      <c r="G799" s="2">
        <v>45170</v>
      </c>
      <c r="H799">
        <v>8</v>
      </c>
      <c r="I799">
        <v>10921</v>
      </c>
      <c r="J799" s="1" t="s">
        <v>24</v>
      </c>
    </row>
    <row r="800" spans="1:10" x14ac:dyDescent="0.25">
      <c r="A800">
        <v>799</v>
      </c>
      <c r="B800" s="1" t="s">
        <v>13</v>
      </c>
      <c r="C800">
        <v>73</v>
      </c>
      <c r="D800" s="1" t="s">
        <v>21</v>
      </c>
      <c r="E800" s="1" t="s">
        <v>35</v>
      </c>
      <c r="F800" s="1" t="s">
        <v>32</v>
      </c>
      <c r="G800" s="2">
        <v>45134</v>
      </c>
      <c r="H800">
        <v>2</v>
      </c>
      <c r="I800">
        <v>12310</v>
      </c>
      <c r="J800" s="1" t="s">
        <v>24</v>
      </c>
    </row>
    <row r="801" spans="1:10" x14ac:dyDescent="0.25">
      <c r="A801">
        <v>800</v>
      </c>
      <c r="B801" s="1" t="s">
        <v>13</v>
      </c>
      <c r="C801">
        <v>15</v>
      </c>
      <c r="D801" s="1" t="s">
        <v>34</v>
      </c>
      <c r="E801" s="1" t="s">
        <v>31</v>
      </c>
      <c r="F801" s="1" t="s">
        <v>32</v>
      </c>
      <c r="G801" s="2">
        <v>45223</v>
      </c>
      <c r="H801">
        <v>11</v>
      </c>
      <c r="I801">
        <v>47512</v>
      </c>
      <c r="J801" s="1" t="s">
        <v>24</v>
      </c>
    </row>
    <row r="802" spans="1:10" x14ac:dyDescent="0.25">
      <c r="A802">
        <v>801</v>
      </c>
      <c r="B802" s="1" t="s">
        <v>13</v>
      </c>
      <c r="C802">
        <v>49</v>
      </c>
      <c r="D802" s="1" t="s">
        <v>14</v>
      </c>
      <c r="E802" s="1" t="s">
        <v>22</v>
      </c>
      <c r="F802" s="1" t="s">
        <v>16</v>
      </c>
      <c r="G802" s="2">
        <v>45094</v>
      </c>
      <c r="H802">
        <v>13</v>
      </c>
      <c r="I802">
        <v>32908</v>
      </c>
      <c r="J802" s="1" t="s">
        <v>24</v>
      </c>
    </row>
    <row r="803" spans="1:10" x14ac:dyDescent="0.25">
      <c r="A803">
        <v>802</v>
      </c>
      <c r="B803" s="1" t="s">
        <v>20</v>
      </c>
      <c r="C803">
        <v>88</v>
      </c>
      <c r="D803" s="1" t="s">
        <v>14</v>
      </c>
      <c r="E803" s="1" t="s">
        <v>31</v>
      </c>
      <c r="F803" s="1" t="s">
        <v>32</v>
      </c>
      <c r="G803" s="2">
        <v>44967</v>
      </c>
      <c r="H803">
        <v>7</v>
      </c>
      <c r="I803">
        <v>6386</v>
      </c>
      <c r="J803" s="1" t="s">
        <v>17</v>
      </c>
    </row>
    <row r="804" spans="1:10" x14ac:dyDescent="0.25">
      <c r="A804">
        <v>803</v>
      </c>
      <c r="B804" s="1" t="s">
        <v>13</v>
      </c>
      <c r="C804">
        <v>68</v>
      </c>
      <c r="D804" s="1" t="s">
        <v>37</v>
      </c>
      <c r="E804" s="1" t="s">
        <v>27</v>
      </c>
      <c r="F804" s="1" t="s">
        <v>32</v>
      </c>
      <c r="G804" s="2">
        <v>45004</v>
      </c>
      <c r="H804">
        <v>14</v>
      </c>
      <c r="I804">
        <v>34263</v>
      </c>
      <c r="J804" s="1" t="s">
        <v>39</v>
      </c>
    </row>
    <row r="805" spans="1:10" x14ac:dyDescent="0.25">
      <c r="A805">
        <v>804</v>
      </c>
      <c r="B805" s="1" t="s">
        <v>13</v>
      </c>
      <c r="C805">
        <v>12</v>
      </c>
      <c r="D805" s="1" t="s">
        <v>37</v>
      </c>
      <c r="E805" s="1" t="s">
        <v>22</v>
      </c>
      <c r="F805" s="1" t="s">
        <v>28</v>
      </c>
      <c r="G805" s="2">
        <v>45096</v>
      </c>
      <c r="H805">
        <v>8</v>
      </c>
      <c r="I805">
        <v>30412</v>
      </c>
      <c r="J805" s="1" t="s">
        <v>24</v>
      </c>
    </row>
    <row r="806" spans="1:10" x14ac:dyDescent="0.25">
      <c r="A806">
        <v>805</v>
      </c>
      <c r="B806" s="1" t="s">
        <v>20</v>
      </c>
      <c r="C806">
        <v>59</v>
      </c>
      <c r="D806" s="1" t="s">
        <v>14</v>
      </c>
      <c r="E806" s="1" t="s">
        <v>15</v>
      </c>
      <c r="F806" s="1" t="s">
        <v>32</v>
      </c>
      <c r="G806" s="2">
        <v>45064</v>
      </c>
      <c r="H806">
        <v>8</v>
      </c>
      <c r="I806">
        <v>19303</v>
      </c>
      <c r="J806" s="1" t="s">
        <v>24</v>
      </c>
    </row>
    <row r="807" spans="1:10" x14ac:dyDescent="0.25">
      <c r="A807">
        <v>806</v>
      </c>
      <c r="B807" s="1" t="s">
        <v>20</v>
      </c>
      <c r="C807">
        <v>37</v>
      </c>
      <c r="D807" s="1" t="s">
        <v>37</v>
      </c>
      <c r="E807" s="1" t="s">
        <v>31</v>
      </c>
      <c r="F807" s="1" t="s">
        <v>28</v>
      </c>
      <c r="G807" s="2">
        <v>45156</v>
      </c>
      <c r="H807">
        <v>11</v>
      </c>
      <c r="I807">
        <v>14242</v>
      </c>
      <c r="J807" s="1" t="s">
        <v>24</v>
      </c>
    </row>
    <row r="808" spans="1:10" x14ac:dyDescent="0.25">
      <c r="A808">
        <v>807</v>
      </c>
      <c r="B808" s="1" t="s">
        <v>20</v>
      </c>
      <c r="C808">
        <v>61</v>
      </c>
      <c r="D808" s="1" t="s">
        <v>14</v>
      </c>
      <c r="E808" s="1" t="s">
        <v>27</v>
      </c>
      <c r="F808" s="1" t="s">
        <v>28</v>
      </c>
      <c r="G808" s="2">
        <v>45244</v>
      </c>
      <c r="H808">
        <v>10</v>
      </c>
      <c r="I808">
        <v>49025</v>
      </c>
      <c r="J808" s="1" t="s">
        <v>24</v>
      </c>
    </row>
    <row r="809" spans="1:10" x14ac:dyDescent="0.25">
      <c r="A809">
        <v>808</v>
      </c>
      <c r="B809" s="1" t="s">
        <v>13</v>
      </c>
      <c r="C809">
        <v>43</v>
      </c>
      <c r="D809" s="1" t="s">
        <v>45</v>
      </c>
      <c r="E809" s="1" t="s">
        <v>15</v>
      </c>
      <c r="F809" s="1" t="s">
        <v>32</v>
      </c>
      <c r="G809" s="2">
        <v>44960</v>
      </c>
      <c r="H809">
        <v>11</v>
      </c>
      <c r="I809">
        <v>10947</v>
      </c>
      <c r="J809" s="1" t="s">
        <v>39</v>
      </c>
    </row>
    <row r="810" spans="1:10" x14ac:dyDescent="0.25">
      <c r="A810">
        <v>809</v>
      </c>
      <c r="B810" s="1" t="s">
        <v>20</v>
      </c>
      <c r="C810">
        <v>70</v>
      </c>
      <c r="D810" s="1" t="s">
        <v>14</v>
      </c>
      <c r="E810" s="1" t="s">
        <v>15</v>
      </c>
      <c r="F810" s="1" t="s">
        <v>16</v>
      </c>
      <c r="G810" s="2">
        <v>45150</v>
      </c>
      <c r="H810">
        <v>13</v>
      </c>
      <c r="I810">
        <v>48714</v>
      </c>
      <c r="J810" s="1" t="s">
        <v>24</v>
      </c>
    </row>
    <row r="811" spans="1:10" x14ac:dyDescent="0.25">
      <c r="A811">
        <v>810</v>
      </c>
      <c r="B811" s="1" t="s">
        <v>13</v>
      </c>
      <c r="C811">
        <v>39</v>
      </c>
      <c r="D811" s="1" t="s">
        <v>21</v>
      </c>
      <c r="E811" s="1" t="s">
        <v>15</v>
      </c>
      <c r="F811" s="1" t="s">
        <v>16</v>
      </c>
      <c r="G811" s="2">
        <v>45265</v>
      </c>
      <c r="H811">
        <v>7</v>
      </c>
      <c r="I811">
        <v>7930</v>
      </c>
      <c r="J811" s="1" t="s">
        <v>24</v>
      </c>
    </row>
    <row r="812" spans="1:10" x14ac:dyDescent="0.25">
      <c r="A812">
        <v>811</v>
      </c>
      <c r="B812" s="1" t="s">
        <v>13</v>
      </c>
      <c r="C812">
        <v>56</v>
      </c>
      <c r="D812" s="1" t="s">
        <v>37</v>
      </c>
      <c r="E812" s="1" t="s">
        <v>15</v>
      </c>
      <c r="F812" s="1" t="s">
        <v>23</v>
      </c>
      <c r="G812" s="2">
        <v>45290</v>
      </c>
      <c r="H812">
        <v>5</v>
      </c>
      <c r="I812">
        <v>40170</v>
      </c>
      <c r="J812" s="1" t="s">
        <v>24</v>
      </c>
    </row>
    <row r="813" spans="1:10" x14ac:dyDescent="0.25">
      <c r="A813">
        <v>812</v>
      </c>
      <c r="B813" s="1" t="s">
        <v>13</v>
      </c>
      <c r="C813">
        <v>63</v>
      </c>
      <c r="D813" s="1" t="s">
        <v>14</v>
      </c>
      <c r="E813" s="1" t="s">
        <v>22</v>
      </c>
      <c r="F813" s="1" t="s">
        <v>23</v>
      </c>
      <c r="G813" s="2">
        <v>44974</v>
      </c>
      <c r="H813">
        <v>1</v>
      </c>
      <c r="I813">
        <v>2507</v>
      </c>
      <c r="J813" s="1" t="s">
        <v>24</v>
      </c>
    </row>
    <row r="814" spans="1:10" x14ac:dyDescent="0.25">
      <c r="A814">
        <v>813</v>
      </c>
      <c r="B814" s="1" t="s">
        <v>13</v>
      </c>
      <c r="C814">
        <v>46</v>
      </c>
      <c r="D814" s="1" t="s">
        <v>14</v>
      </c>
      <c r="E814" s="1" t="s">
        <v>22</v>
      </c>
      <c r="F814" s="1" t="s">
        <v>32</v>
      </c>
      <c r="G814" s="2">
        <v>45036</v>
      </c>
      <c r="H814">
        <v>12</v>
      </c>
      <c r="I814">
        <v>3436</v>
      </c>
      <c r="J814" s="1" t="s">
        <v>17</v>
      </c>
    </row>
    <row r="815" spans="1:10" x14ac:dyDescent="0.25">
      <c r="A815">
        <v>814</v>
      </c>
      <c r="B815" s="1" t="s">
        <v>20</v>
      </c>
      <c r="C815">
        <v>88</v>
      </c>
      <c r="D815" s="1" t="s">
        <v>37</v>
      </c>
      <c r="E815" s="1" t="s">
        <v>22</v>
      </c>
      <c r="F815" s="1" t="s">
        <v>16</v>
      </c>
      <c r="G815" s="2">
        <v>45002</v>
      </c>
      <c r="H815">
        <v>9</v>
      </c>
      <c r="I815">
        <v>29151</v>
      </c>
      <c r="J815" s="1" t="s">
        <v>24</v>
      </c>
    </row>
    <row r="816" spans="1:10" x14ac:dyDescent="0.25">
      <c r="A816">
        <v>815</v>
      </c>
      <c r="B816" s="1" t="s">
        <v>20</v>
      </c>
      <c r="C816">
        <v>11</v>
      </c>
      <c r="D816" s="1" t="s">
        <v>45</v>
      </c>
      <c r="E816" s="1" t="s">
        <v>27</v>
      </c>
      <c r="F816" s="1" t="s">
        <v>28</v>
      </c>
      <c r="G816" s="2">
        <v>45038</v>
      </c>
      <c r="H816">
        <v>13</v>
      </c>
      <c r="I816">
        <v>13618</v>
      </c>
      <c r="J816" s="1" t="s">
        <v>39</v>
      </c>
    </row>
    <row r="817" spans="1:10" x14ac:dyDescent="0.25">
      <c r="A817">
        <v>816</v>
      </c>
      <c r="B817" s="1" t="s">
        <v>13</v>
      </c>
      <c r="C817">
        <v>62</v>
      </c>
      <c r="D817" s="1" t="s">
        <v>45</v>
      </c>
      <c r="E817" s="1" t="s">
        <v>27</v>
      </c>
      <c r="F817" s="1" t="s">
        <v>23</v>
      </c>
      <c r="G817" s="2">
        <v>45104</v>
      </c>
      <c r="H817">
        <v>7</v>
      </c>
      <c r="I817">
        <v>10750</v>
      </c>
      <c r="J817" s="1" t="s">
        <v>24</v>
      </c>
    </row>
    <row r="818" spans="1:10" x14ac:dyDescent="0.25">
      <c r="A818">
        <v>817</v>
      </c>
      <c r="B818" s="1" t="s">
        <v>13</v>
      </c>
      <c r="C818">
        <v>77</v>
      </c>
      <c r="D818" s="1" t="s">
        <v>37</v>
      </c>
      <c r="E818" s="1" t="s">
        <v>27</v>
      </c>
      <c r="F818" s="1" t="s">
        <v>28</v>
      </c>
      <c r="G818" s="2">
        <v>44973</v>
      </c>
      <c r="H818">
        <v>2</v>
      </c>
      <c r="I818">
        <v>18122</v>
      </c>
      <c r="J818" s="1" t="s">
        <v>39</v>
      </c>
    </row>
    <row r="819" spans="1:10" x14ac:dyDescent="0.25">
      <c r="A819">
        <v>818</v>
      </c>
      <c r="B819" s="1" t="s">
        <v>13</v>
      </c>
      <c r="C819">
        <v>25</v>
      </c>
      <c r="D819" s="1" t="s">
        <v>30</v>
      </c>
      <c r="E819" s="1" t="s">
        <v>35</v>
      </c>
      <c r="F819" s="1" t="s">
        <v>23</v>
      </c>
      <c r="G819" s="2">
        <v>45051</v>
      </c>
      <c r="H819">
        <v>6</v>
      </c>
      <c r="I819">
        <v>9354</v>
      </c>
      <c r="J819" s="1" t="s">
        <v>24</v>
      </c>
    </row>
    <row r="820" spans="1:10" x14ac:dyDescent="0.25">
      <c r="A820">
        <v>819</v>
      </c>
      <c r="B820" s="1" t="s">
        <v>20</v>
      </c>
      <c r="C820">
        <v>71</v>
      </c>
      <c r="D820" s="1" t="s">
        <v>37</v>
      </c>
      <c r="E820" s="1" t="s">
        <v>27</v>
      </c>
      <c r="F820" s="1" t="s">
        <v>32</v>
      </c>
      <c r="G820" s="2">
        <v>44954</v>
      </c>
      <c r="H820">
        <v>2</v>
      </c>
      <c r="I820">
        <v>46062</v>
      </c>
      <c r="J820" s="1" t="s">
        <v>24</v>
      </c>
    </row>
    <row r="821" spans="1:10" x14ac:dyDescent="0.25">
      <c r="A821">
        <v>820</v>
      </c>
      <c r="B821" s="1" t="s">
        <v>13</v>
      </c>
      <c r="C821">
        <v>52</v>
      </c>
      <c r="D821" s="1" t="s">
        <v>37</v>
      </c>
      <c r="E821" s="1" t="s">
        <v>22</v>
      </c>
      <c r="F821" s="1" t="s">
        <v>16</v>
      </c>
      <c r="G821" s="2">
        <v>45008</v>
      </c>
      <c r="H821">
        <v>1</v>
      </c>
      <c r="I821">
        <v>32979</v>
      </c>
      <c r="J821" s="1" t="s">
        <v>39</v>
      </c>
    </row>
    <row r="822" spans="1:10" x14ac:dyDescent="0.25">
      <c r="A822">
        <v>821</v>
      </c>
      <c r="B822" s="1" t="s">
        <v>13</v>
      </c>
      <c r="C822">
        <v>4</v>
      </c>
      <c r="D822" s="1" t="s">
        <v>45</v>
      </c>
      <c r="E822" s="1" t="s">
        <v>22</v>
      </c>
      <c r="F822" s="1" t="s">
        <v>23</v>
      </c>
      <c r="G822" s="2">
        <v>45157</v>
      </c>
      <c r="H822">
        <v>14</v>
      </c>
      <c r="I822">
        <v>22900</v>
      </c>
      <c r="J822" s="1" t="s">
        <v>24</v>
      </c>
    </row>
    <row r="823" spans="1:10" x14ac:dyDescent="0.25">
      <c r="A823">
        <v>822</v>
      </c>
      <c r="B823" s="1" t="s">
        <v>20</v>
      </c>
      <c r="C823">
        <v>59</v>
      </c>
      <c r="D823" s="1" t="s">
        <v>45</v>
      </c>
      <c r="E823" s="1" t="s">
        <v>35</v>
      </c>
      <c r="F823" s="1" t="s">
        <v>16</v>
      </c>
      <c r="G823" s="2">
        <v>44928</v>
      </c>
      <c r="H823">
        <v>7</v>
      </c>
      <c r="I823">
        <v>15840</v>
      </c>
      <c r="J823" s="1" t="s">
        <v>24</v>
      </c>
    </row>
    <row r="824" spans="1:10" x14ac:dyDescent="0.25">
      <c r="A824">
        <v>823</v>
      </c>
      <c r="B824" s="1" t="s">
        <v>20</v>
      </c>
      <c r="C824">
        <v>72</v>
      </c>
      <c r="D824" s="1" t="s">
        <v>37</v>
      </c>
      <c r="E824" s="1" t="s">
        <v>35</v>
      </c>
      <c r="F824" s="1" t="s">
        <v>28</v>
      </c>
      <c r="G824" s="2">
        <v>45290</v>
      </c>
      <c r="H824">
        <v>13</v>
      </c>
      <c r="I824">
        <v>39167</v>
      </c>
      <c r="J824" s="1" t="s">
        <v>24</v>
      </c>
    </row>
    <row r="825" spans="1:10" x14ac:dyDescent="0.25">
      <c r="A825">
        <v>824</v>
      </c>
      <c r="B825" s="1" t="s">
        <v>13</v>
      </c>
      <c r="C825">
        <v>20</v>
      </c>
      <c r="D825" s="1" t="s">
        <v>37</v>
      </c>
      <c r="E825" s="1" t="s">
        <v>27</v>
      </c>
      <c r="F825" s="1" t="s">
        <v>32</v>
      </c>
      <c r="G825" s="2">
        <v>45005</v>
      </c>
      <c r="H825">
        <v>2</v>
      </c>
      <c r="I825">
        <v>7037</v>
      </c>
      <c r="J825" s="1" t="s">
        <v>39</v>
      </c>
    </row>
    <row r="826" spans="1:10" x14ac:dyDescent="0.25">
      <c r="A826">
        <v>825</v>
      </c>
      <c r="B826" s="1" t="s">
        <v>20</v>
      </c>
      <c r="C826">
        <v>63</v>
      </c>
      <c r="D826" s="1" t="s">
        <v>37</v>
      </c>
      <c r="E826" s="1" t="s">
        <v>31</v>
      </c>
      <c r="F826" s="1" t="s">
        <v>16</v>
      </c>
      <c r="G826" s="2">
        <v>44930</v>
      </c>
      <c r="H826">
        <v>13</v>
      </c>
      <c r="I826">
        <v>30633</v>
      </c>
      <c r="J826" s="1" t="s">
        <v>24</v>
      </c>
    </row>
    <row r="827" spans="1:10" x14ac:dyDescent="0.25">
      <c r="A827">
        <v>826</v>
      </c>
      <c r="B827" s="1" t="s">
        <v>20</v>
      </c>
      <c r="C827">
        <v>54</v>
      </c>
      <c r="D827" s="1" t="s">
        <v>45</v>
      </c>
      <c r="E827" s="1" t="s">
        <v>35</v>
      </c>
      <c r="F827" s="1" t="s">
        <v>32</v>
      </c>
      <c r="G827" s="2">
        <v>45030</v>
      </c>
      <c r="H827">
        <v>14</v>
      </c>
      <c r="I827">
        <v>26495</v>
      </c>
      <c r="J827" s="1" t="s">
        <v>17</v>
      </c>
    </row>
    <row r="828" spans="1:10" x14ac:dyDescent="0.25">
      <c r="A828">
        <v>827</v>
      </c>
      <c r="B828" s="1" t="s">
        <v>13</v>
      </c>
      <c r="C828">
        <v>74</v>
      </c>
      <c r="D828" s="1" t="s">
        <v>37</v>
      </c>
      <c r="E828" s="1" t="s">
        <v>15</v>
      </c>
      <c r="F828" s="1" t="s">
        <v>16</v>
      </c>
      <c r="G828" s="2">
        <v>45039</v>
      </c>
      <c r="H828">
        <v>14</v>
      </c>
      <c r="I828">
        <v>17848</v>
      </c>
      <c r="J828" s="1" t="s">
        <v>24</v>
      </c>
    </row>
    <row r="829" spans="1:10" x14ac:dyDescent="0.25">
      <c r="A829">
        <v>828</v>
      </c>
      <c r="B829" s="1" t="s">
        <v>20</v>
      </c>
      <c r="C829">
        <v>57</v>
      </c>
      <c r="D829" s="1" t="s">
        <v>37</v>
      </c>
      <c r="E829" s="1" t="s">
        <v>22</v>
      </c>
      <c r="F829" s="1" t="s">
        <v>28</v>
      </c>
      <c r="G829" s="2">
        <v>44953</v>
      </c>
      <c r="H829">
        <v>2</v>
      </c>
      <c r="I829">
        <v>38483</v>
      </c>
      <c r="J829" s="1" t="s">
        <v>24</v>
      </c>
    </row>
    <row r="830" spans="1:10" x14ac:dyDescent="0.25">
      <c r="A830">
        <v>829</v>
      </c>
      <c r="B830" s="1" t="s">
        <v>13</v>
      </c>
      <c r="C830">
        <v>41</v>
      </c>
      <c r="D830" s="1" t="s">
        <v>34</v>
      </c>
      <c r="E830" s="1" t="s">
        <v>15</v>
      </c>
      <c r="F830" s="1" t="s">
        <v>28</v>
      </c>
      <c r="G830" s="2">
        <v>44969</v>
      </c>
      <c r="H830">
        <v>13</v>
      </c>
      <c r="I830">
        <v>49645</v>
      </c>
      <c r="J830" s="1" t="s">
        <v>39</v>
      </c>
    </row>
    <row r="831" spans="1:10" x14ac:dyDescent="0.25">
      <c r="A831">
        <v>830</v>
      </c>
      <c r="B831" s="1" t="s">
        <v>20</v>
      </c>
      <c r="C831">
        <v>3</v>
      </c>
      <c r="D831" s="1" t="s">
        <v>30</v>
      </c>
      <c r="E831" s="1" t="s">
        <v>22</v>
      </c>
      <c r="F831" s="1" t="s">
        <v>32</v>
      </c>
      <c r="G831" s="2">
        <v>45242</v>
      </c>
      <c r="H831">
        <v>11</v>
      </c>
      <c r="I831">
        <v>9837</v>
      </c>
      <c r="J831" s="1" t="s">
        <v>24</v>
      </c>
    </row>
    <row r="832" spans="1:10" x14ac:dyDescent="0.25">
      <c r="A832">
        <v>831</v>
      </c>
      <c r="B832" s="1" t="s">
        <v>13</v>
      </c>
      <c r="C832">
        <v>6</v>
      </c>
      <c r="D832" s="1" t="s">
        <v>21</v>
      </c>
      <c r="E832" s="1" t="s">
        <v>22</v>
      </c>
      <c r="F832" s="1" t="s">
        <v>28</v>
      </c>
      <c r="G832" s="2">
        <v>44945</v>
      </c>
      <c r="H832">
        <v>5</v>
      </c>
      <c r="I832">
        <v>36069</v>
      </c>
      <c r="J832" s="1" t="s">
        <v>39</v>
      </c>
    </row>
    <row r="833" spans="1:10" x14ac:dyDescent="0.25">
      <c r="A833">
        <v>832</v>
      </c>
      <c r="B833" s="1" t="s">
        <v>13</v>
      </c>
      <c r="C833">
        <v>5</v>
      </c>
      <c r="D833" s="1" t="s">
        <v>30</v>
      </c>
      <c r="E833" s="1" t="s">
        <v>35</v>
      </c>
      <c r="F833" s="1" t="s">
        <v>23</v>
      </c>
      <c r="G833" s="2">
        <v>45025</v>
      </c>
      <c r="H833">
        <v>14</v>
      </c>
      <c r="I833">
        <v>9370</v>
      </c>
      <c r="J833" s="1" t="s">
        <v>17</v>
      </c>
    </row>
    <row r="834" spans="1:10" x14ac:dyDescent="0.25">
      <c r="A834">
        <v>833</v>
      </c>
      <c r="B834" s="1" t="s">
        <v>13</v>
      </c>
      <c r="C834">
        <v>5</v>
      </c>
      <c r="D834" s="1" t="s">
        <v>34</v>
      </c>
      <c r="E834" s="1" t="s">
        <v>35</v>
      </c>
      <c r="F834" s="1" t="s">
        <v>16</v>
      </c>
      <c r="G834" s="2">
        <v>45159</v>
      </c>
      <c r="H834">
        <v>5</v>
      </c>
      <c r="I834">
        <v>8411</v>
      </c>
      <c r="J834" s="1" t="s">
        <v>24</v>
      </c>
    </row>
    <row r="835" spans="1:10" x14ac:dyDescent="0.25">
      <c r="A835">
        <v>834</v>
      </c>
      <c r="B835" s="1" t="s">
        <v>20</v>
      </c>
      <c r="C835">
        <v>54</v>
      </c>
      <c r="D835" s="1" t="s">
        <v>21</v>
      </c>
      <c r="E835" s="1" t="s">
        <v>15</v>
      </c>
      <c r="F835" s="1" t="s">
        <v>28</v>
      </c>
      <c r="G835" s="2">
        <v>44976</v>
      </c>
      <c r="H835">
        <v>7</v>
      </c>
      <c r="I835">
        <v>41133</v>
      </c>
      <c r="J835" s="1" t="s">
        <v>24</v>
      </c>
    </row>
    <row r="836" spans="1:10" x14ac:dyDescent="0.25">
      <c r="A836">
        <v>835</v>
      </c>
      <c r="B836" s="1" t="s">
        <v>13</v>
      </c>
      <c r="C836">
        <v>47</v>
      </c>
      <c r="D836" s="1" t="s">
        <v>37</v>
      </c>
      <c r="E836" s="1" t="s">
        <v>22</v>
      </c>
      <c r="F836" s="1" t="s">
        <v>23</v>
      </c>
      <c r="G836" s="2">
        <v>45162</v>
      </c>
      <c r="H836">
        <v>1</v>
      </c>
      <c r="I836">
        <v>32499</v>
      </c>
      <c r="J836" s="1" t="s">
        <v>24</v>
      </c>
    </row>
    <row r="837" spans="1:10" x14ac:dyDescent="0.25">
      <c r="A837">
        <v>836</v>
      </c>
      <c r="B837" s="1" t="s">
        <v>20</v>
      </c>
      <c r="C837">
        <v>87</v>
      </c>
      <c r="D837" s="1" t="s">
        <v>34</v>
      </c>
      <c r="E837" s="1" t="s">
        <v>15</v>
      </c>
      <c r="F837" s="1" t="s">
        <v>32</v>
      </c>
      <c r="G837" s="2">
        <v>45040</v>
      </c>
      <c r="H837">
        <v>8</v>
      </c>
      <c r="I837">
        <v>32225</v>
      </c>
      <c r="J837" s="1" t="s">
        <v>39</v>
      </c>
    </row>
    <row r="838" spans="1:10" x14ac:dyDescent="0.25">
      <c r="A838">
        <v>837</v>
      </c>
      <c r="B838" s="1" t="s">
        <v>13</v>
      </c>
      <c r="C838">
        <v>49</v>
      </c>
      <c r="D838" s="1" t="s">
        <v>37</v>
      </c>
      <c r="E838" s="1" t="s">
        <v>31</v>
      </c>
      <c r="F838" s="1" t="s">
        <v>23</v>
      </c>
      <c r="G838" s="2">
        <v>44960</v>
      </c>
      <c r="H838">
        <v>3</v>
      </c>
      <c r="I838">
        <v>2692</v>
      </c>
      <c r="J838" s="1" t="s">
        <v>39</v>
      </c>
    </row>
    <row r="839" spans="1:10" x14ac:dyDescent="0.25">
      <c r="A839">
        <v>838</v>
      </c>
      <c r="B839" s="1" t="s">
        <v>13</v>
      </c>
      <c r="C839">
        <v>9</v>
      </c>
      <c r="D839" s="1" t="s">
        <v>45</v>
      </c>
      <c r="E839" s="1" t="s">
        <v>15</v>
      </c>
      <c r="F839" s="1" t="s">
        <v>32</v>
      </c>
      <c r="G839" s="2">
        <v>45255</v>
      </c>
      <c r="H839">
        <v>4</v>
      </c>
      <c r="I839">
        <v>30926</v>
      </c>
      <c r="J839" s="1" t="s">
        <v>24</v>
      </c>
    </row>
    <row r="840" spans="1:10" x14ac:dyDescent="0.25">
      <c r="A840">
        <v>839</v>
      </c>
      <c r="B840" s="1" t="s">
        <v>20</v>
      </c>
      <c r="C840">
        <v>20</v>
      </c>
      <c r="D840" s="1" t="s">
        <v>14</v>
      </c>
      <c r="E840" s="1" t="s">
        <v>27</v>
      </c>
      <c r="F840" s="1" t="s">
        <v>32</v>
      </c>
      <c r="G840" s="2">
        <v>45213</v>
      </c>
      <c r="H840">
        <v>9</v>
      </c>
      <c r="I840">
        <v>36246</v>
      </c>
      <c r="J840" s="1" t="s">
        <v>24</v>
      </c>
    </row>
    <row r="841" spans="1:10" x14ac:dyDescent="0.25">
      <c r="A841">
        <v>840</v>
      </c>
      <c r="B841" s="1" t="s">
        <v>13</v>
      </c>
      <c r="C841">
        <v>61</v>
      </c>
      <c r="D841" s="1" t="s">
        <v>34</v>
      </c>
      <c r="E841" s="1" t="s">
        <v>15</v>
      </c>
      <c r="F841" s="1" t="s">
        <v>16</v>
      </c>
      <c r="G841" s="2">
        <v>45265</v>
      </c>
      <c r="H841">
        <v>4</v>
      </c>
      <c r="I841">
        <v>41164</v>
      </c>
      <c r="J841" s="1" t="s">
        <v>24</v>
      </c>
    </row>
    <row r="842" spans="1:10" x14ac:dyDescent="0.25">
      <c r="A842">
        <v>841</v>
      </c>
      <c r="B842" s="1" t="s">
        <v>13</v>
      </c>
      <c r="C842">
        <v>35</v>
      </c>
      <c r="D842" s="1" t="s">
        <v>45</v>
      </c>
      <c r="E842" s="1" t="s">
        <v>27</v>
      </c>
      <c r="F842" s="1" t="s">
        <v>16</v>
      </c>
      <c r="G842" s="2">
        <v>44948</v>
      </c>
      <c r="H842">
        <v>10</v>
      </c>
      <c r="I842">
        <v>10448</v>
      </c>
      <c r="J842" s="1" t="s">
        <v>39</v>
      </c>
    </row>
    <row r="843" spans="1:10" x14ac:dyDescent="0.25">
      <c r="A843">
        <v>842</v>
      </c>
      <c r="B843" s="1" t="s">
        <v>20</v>
      </c>
      <c r="C843">
        <v>50</v>
      </c>
      <c r="D843" s="1" t="s">
        <v>34</v>
      </c>
      <c r="E843" s="1" t="s">
        <v>27</v>
      </c>
      <c r="F843" s="1" t="s">
        <v>23</v>
      </c>
      <c r="G843" s="2">
        <v>44967</v>
      </c>
      <c r="H843">
        <v>12</v>
      </c>
      <c r="I843">
        <v>45390</v>
      </c>
      <c r="J843" s="1" t="s">
        <v>24</v>
      </c>
    </row>
    <row r="844" spans="1:10" x14ac:dyDescent="0.25">
      <c r="A844">
        <v>843</v>
      </c>
      <c r="B844" s="1" t="s">
        <v>13</v>
      </c>
      <c r="C844">
        <v>82</v>
      </c>
      <c r="D844" s="1" t="s">
        <v>34</v>
      </c>
      <c r="E844" s="1" t="s">
        <v>27</v>
      </c>
      <c r="F844" s="1" t="s">
        <v>16</v>
      </c>
      <c r="G844" s="2">
        <v>45053</v>
      </c>
      <c r="H844">
        <v>5</v>
      </c>
      <c r="I844">
        <v>12073</v>
      </c>
      <c r="J844" s="1" t="s">
        <v>24</v>
      </c>
    </row>
    <row r="845" spans="1:10" x14ac:dyDescent="0.25">
      <c r="A845">
        <v>844</v>
      </c>
      <c r="B845" s="1" t="s">
        <v>13</v>
      </c>
      <c r="C845">
        <v>62</v>
      </c>
      <c r="D845" s="1" t="s">
        <v>45</v>
      </c>
      <c r="E845" s="1" t="s">
        <v>31</v>
      </c>
      <c r="F845" s="1" t="s">
        <v>16</v>
      </c>
      <c r="G845" s="2">
        <v>44998</v>
      </c>
      <c r="H845">
        <v>7</v>
      </c>
      <c r="I845">
        <v>37414</v>
      </c>
      <c r="J845" s="1" t="s">
        <v>24</v>
      </c>
    </row>
    <row r="846" spans="1:10" x14ac:dyDescent="0.25">
      <c r="A846">
        <v>845</v>
      </c>
      <c r="B846" s="1" t="s">
        <v>13</v>
      </c>
      <c r="C846">
        <v>17</v>
      </c>
      <c r="D846" s="1" t="s">
        <v>21</v>
      </c>
      <c r="E846" s="1" t="s">
        <v>15</v>
      </c>
      <c r="F846" s="1" t="s">
        <v>16</v>
      </c>
      <c r="G846" s="2">
        <v>45275</v>
      </c>
      <c r="H846">
        <v>4</v>
      </c>
      <c r="I846">
        <v>7209</v>
      </c>
      <c r="J846" s="1" t="s">
        <v>39</v>
      </c>
    </row>
    <row r="847" spans="1:10" x14ac:dyDescent="0.25">
      <c r="A847">
        <v>846</v>
      </c>
      <c r="B847" s="1" t="s">
        <v>13</v>
      </c>
      <c r="C847">
        <v>88</v>
      </c>
      <c r="D847" s="1" t="s">
        <v>30</v>
      </c>
      <c r="E847" s="1" t="s">
        <v>15</v>
      </c>
      <c r="F847" s="1" t="s">
        <v>23</v>
      </c>
      <c r="G847" s="2">
        <v>44943</v>
      </c>
      <c r="H847">
        <v>14</v>
      </c>
      <c r="I847">
        <v>8533</v>
      </c>
      <c r="J847" s="1" t="s">
        <v>24</v>
      </c>
    </row>
    <row r="848" spans="1:10" x14ac:dyDescent="0.25">
      <c r="A848">
        <v>847</v>
      </c>
      <c r="B848" s="1" t="s">
        <v>20</v>
      </c>
      <c r="C848">
        <v>3</v>
      </c>
      <c r="D848" s="1" t="s">
        <v>37</v>
      </c>
      <c r="E848" s="1" t="s">
        <v>31</v>
      </c>
      <c r="F848" s="1" t="s">
        <v>28</v>
      </c>
      <c r="G848" s="2">
        <v>45260</v>
      </c>
      <c r="H848">
        <v>1</v>
      </c>
      <c r="I848">
        <v>23061</v>
      </c>
      <c r="J848" s="1" t="s">
        <v>24</v>
      </c>
    </row>
    <row r="849" spans="1:10" x14ac:dyDescent="0.25">
      <c r="A849">
        <v>848</v>
      </c>
      <c r="B849" s="1" t="s">
        <v>20</v>
      </c>
      <c r="C849">
        <v>32</v>
      </c>
      <c r="D849" s="1" t="s">
        <v>34</v>
      </c>
      <c r="E849" s="1" t="s">
        <v>22</v>
      </c>
      <c r="F849" s="1" t="s">
        <v>16</v>
      </c>
      <c r="G849" s="2">
        <v>44995</v>
      </c>
      <c r="H849">
        <v>9</v>
      </c>
      <c r="I849">
        <v>9211</v>
      </c>
      <c r="J849" s="1" t="s">
        <v>24</v>
      </c>
    </row>
    <row r="850" spans="1:10" x14ac:dyDescent="0.25">
      <c r="A850">
        <v>849</v>
      </c>
      <c r="B850" s="1" t="s">
        <v>13</v>
      </c>
      <c r="C850">
        <v>13</v>
      </c>
      <c r="D850" s="1" t="s">
        <v>37</v>
      </c>
      <c r="E850" s="1" t="s">
        <v>35</v>
      </c>
      <c r="F850" s="1" t="s">
        <v>16</v>
      </c>
      <c r="G850" s="2">
        <v>45274</v>
      </c>
      <c r="H850">
        <v>4</v>
      </c>
      <c r="I850">
        <v>11927</v>
      </c>
      <c r="J850" s="1" t="s">
        <v>24</v>
      </c>
    </row>
    <row r="851" spans="1:10" x14ac:dyDescent="0.25">
      <c r="A851">
        <v>850</v>
      </c>
      <c r="B851" s="1" t="s">
        <v>20</v>
      </c>
      <c r="C851">
        <v>89</v>
      </c>
      <c r="D851" s="1" t="s">
        <v>14</v>
      </c>
      <c r="E851" s="1" t="s">
        <v>15</v>
      </c>
      <c r="F851" s="1" t="s">
        <v>23</v>
      </c>
      <c r="G851" s="2">
        <v>45064</v>
      </c>
      <c r="H851">
        <v>9</v>
      </c>
      <c r="I851">
        <v>13927</v>
      </c>
      <c r="J851" s="1" t="s">
        <v>39</v>
      </c>
    </row>
    <row r="852" spans="1:10" x14ac:dyDescent="0.25">
      <c r="A852">
        <v>851</v>
      </c>
      <c r="B852" s="1" t="s">
        <v>13</v>
      </c>
      <c r="C852">
        <v>73</v>
      </c>
      <c r="D852" s="1" t="s">
        <v>45</v>
      </c>
      <c r="E852" s="1" t="s">
        <v>35</v>
      </c>
      <c r="F852" s="1" t="s">
        <v>28</v>
      </c>
      <c r="G852" s="2">
        <v>45284</v>
      </c>
      <c r="H852">
        <v>6</v>
      </c>
      <c r="I852">
        <v>26594</v>
      </c>
      <c r="J852" s="1" t="s">
        <v>17</v>
      </c>
    </row>
    <row r="853" spans="1:10" x14ac:dyDescent="0.25">
      <c r="A853">
        <v>852</v>
      </c>
      <c r="B853" s="1" t="s">
        <v>20</v>
      </c>
      <c r="C853">
        <v>68</v>
      </c>
      <c r="D853" s="1" t="s">
        <v>37</v>
      </c>
      <c r="E853" s="1" t="s">
        <v>31</v>
      </c>
      <c r="F853" s="1" t="s">
        <v>16</v>
      </c>
      <c r="G853" s="2">
        <v>45021</v>
      </c>
      <c r="H853">
        <v>1</v>
      </c>
      <c r="I853">
        <v>11316</v>
      </c>
      <c r="J853" s="1" t="s">
        <v>24</v>
      </c>
    </row>
    <row r="854" spans="1:10" x14ac:dyDescent="0.25">
      <c r="A854">
        <v>853</v>
      </c>
      <c r="B854" s="1" t="s">
        <v>13</v>
      </c>
      <c r="C854">
        <v>14</v>
      </c>
      <c r="D854" s="1" t="s">
        <v>45</v>
      </c>
      <c r="E854" s="1" t="s">
        <v>22</v>
      </c>
      <c r="F854" s="1" t="s">
        <v>32</v>
      </c>
      <c r="G854" s="2">
        <v>44998</v>
      </c>
      <c r="H854">
        <v>12</v>
      </c>
      <c r="I854">
        <v>14177</v>
      </c>
      <c r="J854" s="1" t="s">
        <v>24</v>
      </c>
    </row>
    <row r="855" spans="1:10" x14ac:dyDescent="0.25">
      <c r="A855">
        <v>854</v>
      </c>
      <c r="B855" s="1" t="s">
        <v>13</v>
      </c>
      <c r="C855">
        <v>11</v>
      </c>
      <c r="D855" s="1" t="s">
        <v>37</v>
      </c>
      <c r="E855" s="1" t="s">
        <v>22</v>
      </c>
      <c r="F855" s="1" t="s">
        <v>23</v>
      </c>
      <c r="G855" s="2">
        <v>45290</v>
      </c>
      <c r="H855">
        <v>3</v>
      </c>
      <c r="I855">
        <v>12846</v>
      </c>
      <c r="J855" s="1" t="s">
        <v>24</v>
      </c>
    </row>
    <row r="856" spans="1:10" x14ac:dyDescent="0.25">
      <c r="A856">
        <v>855</v>
      </c>
      <c r="B856" s="1" t="s">
        <v>13</v>
      </c>
      <c r="C856">
        <v>56</v>
      </c>
      <c r="D856" s="1" t="s">
        <v>30</v>
      </c>
      <c r="E856" s="1" t="s">
        <v>22</v>
      </c>
      <c r="F856" s="1" t="s">
        <v>16</v>
      </c>
      <c r="G856" s="2">
        <v>45061</v>
      </c>
      <c r="H856">
        <v>11</v>
      </c>
      <c r="I856">
        <v>9933</v>
      </c>
      <c r="J856" s="1" t="s">
        <v>24</v>
      </c>
    </row>
    <row r="857" spans="1:10" x14ac:dyDescent="0.25">
      <c r="A857">
        <v>856</v>
      </c>
      <c r="B857" s="1" t="s">
        <v>13</v>
      </c>
      <c r="C857">
        <v>67</v>
      </c>
      <c r="D857" s="1" t="s">
        <v>30</v>
      </c>
      <c r="E857" s="1" t="s">
        <v>31</v>
      </c>
      <c r="F857" s="1" t="s">
        <v>16</v>
      </c>
      <c r="G857" s="2">
        <v>45217</v>
      </c>
      <c r="H857">
        <v>2</v>
      </c>
      <c r="I857">
        <v>40244</v>
      </c>
      <c r="J857" s="1" t="s">
        <v>39</v>
      </c>
    </row>
    <row r="858" spans="1:10" x14ac:dyDescent="0.25">
      <c r="A858">
        <v>857</v>
      </c>
      <c r="B858" s="1" t="s">
        <v>13</v>
      </c>
      <c r="C858">
        <v>29</v>
      </c>
      <c r="D858" s="1" t="s">
        <v>30</v>
      </c>
      <c r="E858" s="1" t="s">
        <v>27</v>
      </c>
      <c r="F858" s="1" t="s">
        <v>32</v>
      </c>
      <c r="G858" s="2">
        <v>45077</v>
      </c>
      <c r="H858">
        <v>9</v>
      </c>
      <c r="I858">
        <v>48621</v>
      </c>
      <c r="J858" s="1" t="s">
        <v>24</v>
      </c>
    </row>
    <row r="859" spans="1:10" x14ac:dyDescent="0.25">
      <c r="A859">
        <v>858</v>
      </c>
      <c r="B859" s="1" t="s">
        <v>13</v>
      </c>
      <c r="C859">
        <v>9</v>
      </c>
      <c r="D859" s="1" t="s">
        <v>30</v>
      </c>
      <c r="E859" s="1" t="s">
        <v>27</v>
      </c>
      <c r="F859" s="1" t="s">
        <v>32</v>
      </c>
      <c r="G859" s="2">
        <v>45184</v>
      </c>
      <c r="H859">
        <v>12</v>
      </c>
      <c r="I859">
        <v>42696</v>
      </c>
      <c r="J859" s="1" t="s">
        <v>24</v>
      </c>
    </row>
    <row r="860" spans="1:10" x14ac:dyDescent="0.25">
      <c r="A860">
        <v>859</v>
      </c>
      <c r="B860" s="1" t="s">
        <v>20</v>
      </c>
      <c r="C860">
        <v>67</v>
      </c>
      <c r="D860" s="1" t="s">
        <v>30</v>
      </c>
      <c r="E860" s="1" t="s">
        <v>35</v>
      </c>
      <c r="F860" s="1" t="s">
        <v>23</v>
      </c>
      <c r="G860" s="2">
        <v>45244</v>
      </c>
      <c r="H860">
        <v>1</v>
      </c>
      <c r="I860">
        <v>4080</v>
      </c>
      <c r="J860" s="1" t="s">
        <v>24</v>
      </c>
    </row>
    <row r="861" spans="1:10" x14ac:dyDescent="0.25">
      <c r="A861">
        <v>860</v>
      </c>
      <c r="B861" s="1" t="s">
        <v>13</v>
      </c>
      <c r="C861">
        <v>25</v>
      </c>
      <c r="D861" s="1" t="s">
        <v>30</v>
      </c>
      <c r="E861" s="1" t="s">
        <v>27</v>
      </c>
      <c r="F861" s="1" t="s">
        <v>23</v>
      </c>
      <c r="G861" s="2">
        <v>44960</v>
      </c>
      <c r="H861">
        <v>13</v>
      </c>
      <c r="I861">
        <v>8089</v>
      </c>
      <c r="J861" s="1" t="s">
        <v>24</v>
      </c>
    </row>
    <row r="862" spans="1:10" x14ac:dyDescent="0.25">
      <c r="A862">
        <v>861</v>
      </c>
      <c r="B862" s="1" t="s">
        <v>20</v>
      </c>
      <c r="C862">
        <v>76</v>
      </c>
      <c r="D862" s="1" t="s">
        <v>45</v>
      </c>
      <c r="E862" s="1" t="s">
        <v>27</v>
      </c>
      <c r="F862" s="1" t="s">
        <v>32</v>
      </c>
      <c r="G862" s="2">
        <v>45042</v>
      </c>
      <c r="H862">
        <v>14</v>
      </c>
      <c r="I862">
        <v>28123</v>
      </c>
      <c r="J862" s="1" t="s">
        <v>24</v>
      </c>
    </row>
    <row r="863" spans="1:10" x14ac:dyDescent="0.25">
      <c r="A863">
        <v>862</v>
      </c>
      <c r="B863" s="1" t="s">
        <v>13</v>
      </c>
      <c r="C863">
        <v>42</v>
      </c>
      <c r="D863" s="1" t="s">
        <v>34</v>
      </c>
      <c r="E863" s="1" t="s">
        <v>22</v>
      </c>
      <c r="F863" s="1" t="s">
        <v>23</v>
      </c>
      <c r="G863" s="2">
        <v>45045</v>
      </c>
      <c r="H863">
        <v>9</v>
      </c>
      <c r="I863">
        <v>9797</v>
      </c>
      <c r="J863" s="1" t="s">
        <v>24</v>
      </c>
    </row>
    <row r="864" spans="1:10" x14ac:dyDescent="0.25">
      <c r="A864">
        <v>863</v>
      </c>
      <c r="B864" s="1" t="s">
        <v>20</v>
      </c>
      <c r="C864">
        <v>9</v>
      </c>
      <c r="D864" s="1" t="s">
        <v>37</v>
      </c>
      <c r="E864" s="1" t="s">
        <v>22</v>
      </c>
      <c r="F864" s="1" t="s">
        <v>32</v>
      </c>
      <c r="G864" s="2">
        <v>44937</v>
      </c>
      <c r="H864">
        <v>9</v>
      </c>
      <c r="I864">
        <v>10346</v>
      </c>
      <c r="J864" s="1" t="s">
        <v>24</v>
      </c>
    </row>
    <row r="865" spans="1:10" x14ac:dyDescent="0.25">
      <c r="A865">
        <v>864</v>
      </c>
      <c r="B865" s="1" t="s">
        <v>20</v>
      </c>
      <c r="C865">
        <v>79</v>
      </c>
      <c r="D865" s="1" t="s">
        <v>30</v>
      </c>
      <c r="E865" s="1" t="s">
        <v>35</v>
      </c>
      <c r="F865" s="1" t="s">
        <v>16</v>
      </c>
      <c r="G865" s="2">
        <v>45195</v>
      </c>
      <c r="H865">
        <v>8</v>
      </c>
      <c r="I865">
        <v>21878</v>
      </c>
      <c r="J865" s="1" t="s">
        <v>39</v>
      </c>
    </row>
    <row r="866" spans="1:10" x14ac:dyDescent="0.25">
      <c r="A866">
        <v>865</v>
      </c>
      <c r="B866" s="1" t="s">
        <v>20</v>
      </c>
      <c r="C866">
        <v>40</v>
      </c>
      <c r="D866" s="1" t="s">
        <v>45</v>
      </c>
      <c r="E866" s="1" t="s">
        <v>15</v>
      </c>
      <c r="F866" s="1" t="s">
        <v>32</v>
      </c>
      <c r="G866" s="2">
        <v>44940</v>
      </c>
      <c r="H866">
        <v>8</v>
      </c>
      <c r="I866">
        <v>35672</v>
      </c>
      <c r="J866" s="1" t="s">
        <v>24</v>
      </c>
    </row>
    <row r="867" spans="1:10" x14ac:dyDescent="0.25">
      <c r="A867">
        <v>866</v>
      </c>
      <c r="B867" s="1" t="s">
        <v>13</v>
      </c>
      <c r="C867">
        <v>25</v>
      </c>
      <c r="D867" s="1" t="s">
        <v>45</v>
      </c>
      <c r="E867" s="1" t="s">
        <v>35</v>
      </c>
      <c r="F867" s="1" t="s">
        <v>32</v>
      </c>
      <c r="G867" s="2">
        <v>45255</v>
      </c>
      <c r="H867">
        <v>11</v>
      </c>
      <c r="I867">
        <v>19653</v>
      </c>
      <c r="J867" s="1" t="s">
        <v>24</v>
      </c>
    </row>
    <row r="868" spans="1:10" x14ac:dyDescent="0.25">
      <c r="A868">
        <v>867</v>
      </c>
      <c r="B868" s="1" t="s">
        <v>13</v>
      </c>
      <c r="C868">
        <v>5</v>
      </c>
      <c r="D868" s="1" t="s">
        <v>45</v>
      </c>
      <c r="E868" s="1" t="s">
        <v>35</v>
      </c>
      <c r="F868" s="1" t="s">
        <v>28</v>
      </c>
      <c r="G868" s="2">
        <v>45058</v>
      </c>
      <c r="H868">
        <v>14</v>
      </c>
      <c r="I868">
        <v>44742</v>
      </c>
      <c r="J868" s="1" t="s">
        <v>17</v>
      </c>
    </row>
    <row r="869" spans="1:10" x14ac:dyDescent="0.25">
      <c r="A869">
        <v>868</v>
      </c>
      <c r="B869" s="1" t="s">
        <v>20</v>
      </c>
      <c r="C869">
        <v>11</v>
      </c>
      <c r="D869" s="1" t="s">
        <v>34</v>
      </c>
      <c r="E869" s="1" t="s">
        <v>31</v>
      </c>
      <c r="F869" s="1" t="s">
        <v>32</v>
      </c>
      <c r="G869" s="2">
        <v>45113</v>
      </c>
      <c r="H869">
        <v>12</v>
      </c>
      <c r="I869">
        <v>28140</v>
      </c>
      <c r="J869" s="1" t="s">
        <v>24</v>
      </c>
    </row>
    <row r="870" spans="1:10" x14ac:dyDescent="0.25">
      <c r="A870">
        <v>869</v>
      </c>
      <c r="B870" s="1" t="s">
        <v>13</v>
      </c>
      <c r="C870">
        <v>59</v>
      </c>
      <c r="D870" s="1" t="s">
        <v>37</v>
      </c>
      <c r="E870" s="1" t="s">
        <v>31</v>
      </c>
      <c r="F870" s="1" t="s">
        <v>32</v>
      </c>
      <c r="G870" s="2">
        <v>45011</v>
      </c>
      <c r="H870">
        <v>1</v>
      </c>
      <c r="I870">
        <v>3184</v>
      </c>
      <c r="J870" s="1" t="s">
        <v>39</v>
      </c>
    </row>
    <row r="871" spans="1:10" x14ac:dyDescent="0.25">
      <c r="A871">
        <v>870</v>
      </c>
      <c r="B871" s="1" t="s">
        <v>20</v>
      </c>
      <c r="C871">
        <v>88</v>
      </c>
      <c r="D871" s="1" t="s">
        <v>34</v>
      </c>
      <c r="E871" s="1" t="s">
        <v>35</v>
      </c>
      <c r="F871" s="1" t="s">
        <v>28</v>
      </c>
      <c r="G871" s="2">
        <v>44953</v>
      </c>
      <c r="H871">
        <v>11</v>
      </c>
      <c r="I871">
        <v>36493</v>
      </c>
      <c r="J871" s="1" t="s">
        <v>24</v>
      </c>
    </row>
    <row r="872" spans="1:10" x14ac:dyDescent="0.25">
      <c r="A872">
        <v>871</v>
      </c>
      <c r="B872" s="1" t="s">
        <v>13</v>
      </c>
      <c r="C872">
        <v>79</v>
      </c>
      <c r="D872" s="1" t="s">
        <v>21</v>
      </c>
      <c r="E872" s="1" t="s">
        <v>35</v>
      </c>
      <c r="F872" s="1" t="s">
        <v>23</v>
      </c>
      <c r="G872" s="2">
        <v>45124</v>
      </c>
      <c r="H872">
        <v>8</v>
      </c>
      <c r="I872">
        <v>46148</v>
      </c>
      <c r="J872" s="1" t="s">
        <v>24</v>
      </c>
    </row>
    <row r="873" spans="1:10" x14ac:dyDescent="0.25">
      <c r="A873">
        <v>872</v>
      </c>
      <c r="B873" s="1" t="s">
        <v>20</v>
      </c>
      <c r="C873">
        <v>38</v>
      </c>
      <c r="D873" s="1" t="s">
        <v>45</v>
      </c>
      <c r="E873" s="1" t="s">
        <v>35</v>
      </c>
      <c r="F873" s="1" t="s">
        <v>28</v>
      </c>
      <c r="G873" s="2">
        <v>45245</v>
      </c>
      <c r="H873">
        <v>10</v>
      </c>
      <c r="I873">
        <v>26846</v>
      </c>
      <c r="J873" s="1" t="s">
        <v>24</v>
      </c>
    </row>
    <row r="874" spans="1:10" x14ac:dyDescent="0.25">
      <c r="A874">
        <v>873</v>
      </c>
      <c r="B874" s="1" t="s">
        <v>20</v>
      </c>
      <c r="C874">
        <v>72</v>
      </c>
      <c r="D874" s="1" t="s">
        <v>21</v>
      </c>
      <c r="E874" s="1" t="s">
        <v>27</v>
      </c>
      <c r="F874" s="1" t="s">
        <v>16</v>
      </c>
      <c r="G874" s="2">
        <v>45078</v>
      </c>
      <c r="H874">
        <v>14</v>
      </c>
      <c r="I874">
        <v>47825</v>
      </c>
      <c r="J874" s="1" t="s">
        <v>24</v>
      </c>
    </row>
    <row r="875" spans="1:10" x14ac:dyDescent="0.25">
      <c r="A875">
        <v>874</v>
      </c>
      <c r="B875" s="1" t="s">
        <v>13</v>
      </c>
      <c r="C875">
        <v>5</v>
      </c>
      <c r="D875" s="1" t="s">
        <v>14</v>
      </c>
      <c r="E875" s="1" t="s">
        <v>31</v>
      </c>
      <c r="F875" s="1" t="s">
        <v>28</v>
      </c>
      <c r="G875" s="2">
        <v>45040</v>
      </c>
      <c r="H875">
        <v>3</v>
      </c>
      <c r="I875">
        <v>24195</v>
      </c>
      <c r="J875" s="1" t="s">
        <v>24</v>
      </c>
    </row>
    <row r="876" spans="1:10" x14ac:dyDescent="0.25">
      <c r="A876">
        <v>875</v>
      </c>
      <c r="B876" s="1" t="s">
        <v>20</v>
      </c>
      <c r="C876">
        <v>48</v>
      </c>
      <c r="D876" s="1" t="s">
        <v>30</v>
      </c>
      <c r="E876" s="1" t="s">
        <v>35</v>
      </c>
      <c r="F876" s="1" t="s">
        <v>16</v>
      </c>
      <c r="G876" s="2">
        <v>45037</v>
      </c>
      <c r="H876">
        <v>11</v>
      </c>
      <c r="I876">
        <v>7606</v>
      </c>
      <c r="J876" s="1" t="s">
        <v>17</v>
      </c>
    </row>
    <row r="877" spans="1:10" x14ac:dyDescent="0.25">
      <c r="A877">
        <v>876</v>
      </c>
      <c r="B877" s="1" t="s">
        <v>13</v>
      </c>
      <c r="C877">
        <v>18</v>
      </c>
      <c r="D877" s="1" t="s">
        <v>30</v>
      </c>
      <c r="E877" s="1" t="s">
        <v>22</v>
      </c>
      <c r="F877" s="1" t="s">
        <v>23</v>
      </c>
      <c r="G877" s="2">
        <v>45210</v>
      </c>
      <c r="H877">
        <v>7</v>
      </c>
      <c r="I877">
        <v>5956</v>
      </c>
      <c r="J877" s="1" t="s">
        <v>24</v>
      </c>
    </row>
    <row r="878" spans="1:10" x14ac:dyDescent="0.25">
      <c r="A878">
        <v>877</v>
      </c>
      <c r="B878" s="1" t="s">
        <v>20</v>
      </c>
      <c r="C878">
        <v>70</v>
      </c>
      <c r="D878" s="1" t="s">
        <v>34</v>
      </c>
      <c r="E878" s="1" t="s">
        <v>22</v>
      </c>
      <c r="F878" s="1" t="s">
        <v>28</v>
      </c>
      <c r="G878" s="2">
        <v>45038</v>
      </c>
      <c r="H878">
        <v>11</v>
      </c>
      <c r="I878">
        <v>18555</v>
      </c>
      <c r="J878" s="1" t="s">
        <v>24</v>
      </c>
    </row>
    <row r="879" spans="1:10" x14ac:dyDescent="0.25">
      <c r="A879">
        <v>878</v>
      </c>
      <c r="B879" s="1" t="s">
        <v>20</v>
      </c>
      <c r="C879">
        <v>37</v>
      </c>
      <c r="D879" s="1" t="s">
        <v>37</v>
      </c>
      <c r="E879" s="1" t="s">
        <v>27</v>
      </c>
      <c r="F879" s="1" t="s">
        <v>28</v>
      </c>
      <c r="G879" s="2">
        <v>45262</v>
      </c>
      <c r="H879">
        <v>1</v>
      </c>
      <c r="I879">
        <v>26849</v>
      </c>
      <c r="J879" s="1" t="s">
        <v>24</v>
      </c>
    </row>
    <row r="880" spans="1:10" x14ac:dyDescent="0.25">
      <c r="A880">
        <v>879</v>
      </c>
      <c r="B880" s="1" t="s">
        <v>13</v>
      </c>
      <c r="C880">
        <v>60</v>
      </c>
      <c r="D880" s="1" t="s">
        <v>21</v>
      </c>
      <c r="E880" s="1" t="s">
        <v>27</v>
      </c>
      <c r="F880" s="1" t="s">
        <v>23</v>
      </c>
      <c r="G880" s="2">
        <v>45096</v>
      </c>
      <c r="H880">
        <v>1</v>
      </c>
      <c r="I880">
        <v>20690</v>
      </c>
      <c r="J880" s="1" t="s">
        <v>24</v>
      </c>
    </row>
    <row r="881" spans="1:10" x14ac:dyDescent="0.25">
      <c r="A881">
        <v>880</v>
      </c>
      <c r="B881" s="1" t="s">
        <v>13</v>
      </c>
      <c r="C881">
        <v>48</v>
      </c>
      <c r="D881" s="1" t="s">
        <v>37</v>
      </c>
      <c r="E881" s="1" t="s">
        <v>15</v>
      </c>
      <c r="F881" s="1" t="s">
        <v>16</v>
      </c>
      <c r="G881" s="2">
        <v>44928</v>
      </c>
      <c r="H881">
        <v>10</v>
      </c>
      <c r="I881">
        <v>28347</v>
      </c>
      <c r="J881" s="1" t="s">
        <v>24</v>
      </c>
    </row>
    <row r="882" spans="1:10" x14ac:dyDescent="0.25">
      <c r="A882">
        <v>881</v>
      </c>
      <c r="B882" s="1" t="s">
        <v>13</v>
      </c>
      <c r="C882">
        <v>77</v>
      </c>
      <c r="D882" s="1" t="s">
        <v>34</v>
      </c>
      <c r="E882" s="1" t="s">
        <v>15</v>
      </c>
      <c r="F882" s="1" t="s">
        <v>28</v>
      </c>
      <c r="G882" s="2">
        <v>45184</v>
      </c>
      <c r="H882">
        <v>13</v>
      </c>
      <c r="I882">
        <v>35189</v>
      </c>
      <c r="J882" s="1" t="s">
        <v>24</v>
      </c>
    </row>
    <row r="883" spans="1:10" x14ac:dyDescent="0.25">
      <c r="A883">
        <v>882</v>
      </c>
      <c r="B883" s="1" t="s">
        <v>20</v>
      </c>
      <c r="C883">
        <v>28</v>
      </c>
      <c r="D883" s="1" t="s">
        <v>30</v>
      </c>
      <c r="E883" s="1" t="s">
        <v>15</v>
      </c>
      <c r="F883" s="1" t="s">
        <v>16</v>
      </c>
      <c r="G883" s="2">
        <v>45071</v>
      </c>
      <c r="H883">
        <v>5</v>
      </c>
      <c r="I883">
        <v>40308</v>
      </c>
      <c r="J883" s="1" t="s">
        <v>39</v>
      </c>
    </row>
    <row r="884" spans="1:10" x14ac:dyDescent="0.25">
      <c r="A884">
        <v>883</v>
      </c>
      <c r="B884" s="1" t="s">
        <v>13</v>
      </c>
      <c r="C884">
        <v>69</v>
      </c>
      <c r="D884" s="1" t="s">
        <v>37</v>
      </c>
      <c r="E884" s="1" t="s">
        <v>27</v>
      </c>
      <c r="F884" s="1" t="s">
        <v>28</v>
      </c>
      <c r="G884" s="2">
        <v>44977</v>
      </c>
      <c r="H884">
        <v>5</v>
      </c>
      <c r="I884">
        <v>27785</v>
      </c>
      <c r="J884" s="1" t="s">
        <v>17</v>
      </c>
    </row>
    <row r="885" spans="1:10" x14ac:dyDescent="0.25">
      <c r="A885">
        <v>884</v>
      </c>
      <c r="B885" s="1" t="s">
        <v>20</v>
      </c>
      <c r="C885">
        <v>77</v>
      </c>
      <c r="D885" s="1" t="s">
        <v>37</v>
      </c>
      <c r="E885" s="1" t="s">
        <v>27</v>
      </c>
      <c r="F885" s="1" t="s">
        <v>32</v>
      </c>
      <c r="G885" s="2">
        <v>45233</v>
      </c>
      <c r="H885">
        <v>8</v>
      </c>
      <c r="I885">
        <v>34698</v>
      </c>
      <c r="J885" s="1" t="s">
        <v>24</v>
      </c>
    </row>
    <row r="886" spans="1:10" x14ac:dyDescent="0.25">
      <c r="A886">
        <v>885</v>
      </c>
      <c r="B886" s="1" t="s">
        <v>20</v>
      </c>
      <c r="C886">
        <v>81</v>
      </c>
      <c r="D886" s="1" t="s">
        <v>30</v>
      </c>
      <c r="E886" s="1" t="s">
        <v>27</v>
      </c>
      <c r="F886" s="1" t="s">
        <v>28</v>
      </c>
      <c r="G886" s="2">
        <v>45252</v>
      </c>
      <c r="H886">
        <v>7</v>
      </c>
      <c r="I886">
        <v>17966</v>
      </c>
      <c r="J886" s="1" t="s">
        <v>24</v>
      </c>
    </row>
    <row r="887" spans="1:10" x14ac:dyDescent="0.25">
      <c r="A887">
        <v>886</v>
      </c>
      <c r="B887" s="1" t="s">
        <v>13</v>
      </c>
      <c r="C887">
        <v>40</v>
      </c>
      <c r="D887" s="1" t="s">
        <v>21</v>
      </c>
      <c r="E887" s="1" t="s">
        <v>22</v>
      </c>
      <c r="F887" s="1" t="s">
        <v>23</v>
      </c>
      <c r="G887" s="2">
        <v>45110</v>
      </c>
      <c r="H887">
        <v>8</v>
      </c>
      <c r="I887">
        <v>33097</v>
      </c>
      <c r="J887" s="1" t="s">
        <v>17</v>
      </c>
    </row>
    <row r="888" spans="1:10" x14ac:dyDescent="0.25">
      <c r="A888">
        <v>887</v>
      </c>
      <c r="B888" s="1" t="s">
        <v>13</v>
      </c>
      <c r="C888">
        <v>45</v>
      </c>
      <c r="D888" s="1" t="s">
        <v>30</v>
      </c>
      <c r="E888" s="1" t="s">
        <v>27</v>
      </c>
      <c r="F888" s="1" t="s">
        <v>23</v>
      </c>
      <c r="G888" s="2">
        <v>45288</v>
      </c>
      <c r="H888">
        <v>6</v>
      </c>
      <c r="I888">
        <v>17882</v>
      </c>
      <c r="J888" s="1" t="s">
        <v>39</v>
      </c>
    </row>
    <row r="889" spans="1:10" x14ac:dyDescent="0.25">
      <c r="A889">
        <v>888</v>
      </c>
      <c r="B889" s="1" t="s">
        <v>20</v>
      </c>
      <c r="C889">
        <v>62</v>
      </c>
      <c r="D889" s="1" t="s">
        <v>37</v>
      </c>
      <c r="E889" s="1" t="s">
        <v>22</v>
      </c>
      <c r="F889" s="1" t="s">
        <v>16</v>
      </c>
      <c r="G889" s="2">
        <v>45249</v>
      </c>
      <c r="H889">
        <v>6</v>
      </c>
      <c r="I889">
        <v>6675</v>
      </c>
      <c r="J889" s="1" t="s">
        <v>24</v>
      </c>
    </row>
    <row r="890" spans="1:10" x14ac:dyDescent="0.25">
      <c r="A890">
        <v>889</v>
      </c>
      <c r="B890" s="1" t="s">
        <v>20</v>
      </c>
      <c r="C890">
        <v>58</v>
      </c>
      <c r="D890" s="1" t="s">
        <v>21</v>
      </c>
      <c r="E890" s="1" t="s">
        <v>15</v>
      </c>
      <c r="F890" s="1" t="s">
        <v>28</v>
      </c>
      <c r="G890" s="2">
        <v>44939</v>
      </c>
      <c r="H890">
        <v>2</v>
      </c>
      <c r="I890">
        <v>43850</v>
      </c>
      <c r="J890" s="1" t="s">
        <v>17</v>
      </c>
    </row>
    <row r="891" spans="1:10" x14ac:dyDescent="0.25">
      <c r="A891">
        <v>890</v>
      </c>
      <c r="B891" s="1" t="s">
        <v>13</v>
      </c>
      <c r="C891">
        <v>67</v>
      </c>
      <c r="D891" s="1" t="s">
        <v>21</v>
      </c>
      <c r="E891" s="1" t="s">
        <v>15</v>
      </c>
      <c r="F891" s="1" t="s">
        <v>16</v>
      </c>
      <c r="G891" s="2">
        <v>45129</v>
      </c>
      <c r="H891">
        <v>6</v>
      </c>
      <c r="I891">
        <v>15009</v>
      </c>
      <c r="J891" s="1" t="s">
        <v>24</v>
      </c>
    </row>
    <row r="892" spans="1:10" x14ac:dyDescent="0.25">
      <c r="A892">
        <v>891</v>
      </c>
      <c r="B892" s="1" t="s">
        <v>13</v>
      </c>
      <c r="C892">
        <v>56</v>
      </c>
      <c r="D892" s="1" t="s">
        <v>30</v>
      </c>
      <c r="E892" s="1" t="s">
        <v>15</v>
      </c>
      <c r="F892" s="1" t="s">
        <v>16</v>
      </c>
      <c r="G892" s="2">
        <v>45204</v>
      </c>
      <c r="H892">
        <v>5</v>
      </c>
      <c r="I892">
        <v>29843</v>
      </c>
      <c r="J892" s="1" t="s">
        <v>17</v>
      </c>
    </row>
    <row r="893" spans="1:10" x14ac:dyDescent="0.25">
      <c r="A893">
        <v>892</v>
      </c>
      <c r="B893" s="1" t="s">
        <v>13</v>
      </c>
      <c r="C893">
        <v>40</v>
      </c>
      <c r="D893" s="1" t="s">
        <v>37</v>
      </c>
      <c r="E893" s="1" t="s">
        <v>35</v>
      </c>
      <c r="F893" s="1" t="s">
        <v>32</v>
      </c>
      <c r="G893" s="2">
        <v>45072</v>
      </c>
      <c r="H893">
        <v>13</v>
      </c>
      <c r="I893">
        <v>31793</v>
      </c>
      <c r="J893" s="1" t="s">
        <v>24</v>
      </c>
    </row>
    <row r="894" spans="1:10" x14ac:dyDescent="0.25">
      <c r="A894">
        <v>893</v>
      </c>
      <c r="B894" s="1" t="s">
        <v>13</v>
      </c>
      <c r="C894">
        <v>40</v>
      </c>
      <c r="D894" s="1" t="s">
        <v>34</v>
      </c>
      <c r="E894" s="1" t="s">
        <v>35</v>
      </c>
      <c r="F894" s="1" t="s">
        <v>32</v>
      </c>
      <c r="G894" s="2">
        <v>44985</v>
      </c>
      <c r="H894">
        <v>3</v>
      </c>
      <c r="I894">
        <v>41516</v>
      </c>
      <c r="J894" s="1" t="s">
        <v>24</v>
      </c>
    </row>
    <row r="895" spans="1:10" x14ac:dyDescent="0.25">
      <c r="A895">
        <v>894</v>
      </c>
      <c r="B895" s="1" t="s">
        <v>13</v>
      </c>
      <c r="C895">
        <v>77</v>
      </c>
      <c r="D895" s="1" t="s">
        <v>37</v>
      </c>
      <c r="E895" s="1" t="s">
        <v>31</v>
      </c>
      <c r="F895" s="1" t="s">
        <v>23</v>
      </c>
      <c r="G895" s="2">
        <v>45085</v>
      </c>
      <c r="H895">
        <v>6</v>
      </c>
      <c r="I895">
        <v>40871</v>
      </c>
      <c r="J895" s="1" t="s">
        <v>39</v>
      </c>
    </row>
    <row r="896" spans="1:10" x14ac:dyDescent="0.25">
      <c r="A896">
        <v>895</v>
      </c>
      <c r="B896" s="1" t="s">
        <v>20</v>
      </c>
      <c r="C896">
        <v>33</v>
      </c>
      <c r="D896" s="1" t="s">
        <v>45</v>
      </c>
      <c r="E896" s="1" t="s">
        <v>31</v>
      </c>
      <c r="F896" s="1" t="s">
        <v>16</v>
      </c>
      <c r="G896" s="2">
        <v>45197</v>
      </c>
      <c r="H896">
        <v>8</v>
      </c>
      <c r="I896">
        <v>19857</v>
      </c>
      <c r="J896" s="1" t="s">
        <v>24</v>
      </c>
    </row>
    <row r="897" spans="1:10" x14ac:dyDescent="0.25">
      <c r="A897">
        <v>896</v>
      </c>
      <c r="B897" s="1" t="s">
        <v>20</v>
      </c>
      <c r="C897">
        <v>6</v>
      </c>
      <c r="D897" s="1" t="s">
        <v>14</v>
      </c>
      <c r="E897" s="1" t="s">
        <v>31</v>
      </c>
      <c r="F897" s="1" t="s">
        <v>23</v>
      </c>
      <c r="G897" s="2">
        <v>45211</v>
      </c>
      <c r="H897">
        <v>9</v>
      </c>
      <c r="I897">
        <v>21627</v>
      </c>
      <c r="J897" s="1" t="s">
        <v>24</v>
      </c>
    </row>
    <row r="898" spans="1:10" x14ac:dyDescent="0.25">
      <c r="A898">
        <v>897</v>
      </c>
      <c r="B898" s="1" t="s">
        <v>20</v>
      </c>
      <c r="C898">
        <v>88</v>
      </c>
      <c r="D898" s="1" t="s">
        <v>34</v>
      </c>
      <c r="E898" s="1" t="s">
        <v>35</v>
      </c>
      <c r="F898" s="1" t="s">
        <v>28</v>
      </c>
      <c r="G898" s="2">
        <v>44997</v>
      </c>
      <c r="H898">
        <v>1</v>
      </c>
      <c r="I898">
        <v>20565</v>
      </c>
      <c r="J898" s="1" t="s">
        <v>24</v>
      </c>
    </row>
    <row r="899" spans="1:10" x14ac:dyDescent="0.25">
      <c r="A899">
        <v>898</v>
      </c>
      <c r="B899" s="1" t="s">
        <v>20</v>
      </c>
      <c r="C899">
        <v>19</v>
      </c>
      <c r="D899" s="1" t="s">
        <v>21</v>
      </c>
      <c r="E899" s="1" t="s">
        <v>35</v>
      </c>
      <c r="F899" s="1" t="s">
        <v>16</v>
      </c>
      <c r="G899" s="2">
        <v>45086</v>
      </c>
      <c r="H899">
        <v>3</v>
      </c>
      <c r="I899">
        <v>28025</v>
      </c>
      <c r="J899" s="1" t="s">
        <v>17</v>
      </c>
    </row>
    <row r="900" spans="1:10" x14ac:dyDescent="0.25">
      <c r="A900">
        <v>899</v>
      </c>
      <c r="B900" s="1" t="s">
        <v>13</v>
      </c>
      <c r="C900">
        <v>80</v>
      </c>
      <c r="D900" s="1" t="s">
        <v>34</v>
      </c>
      <c r="E900" s="1" t="s">
        <v>31</v>
      </c>
      <c r="F900" s="1" t="s">
        <v>16</v>
      </c>
      <c r="G900" s="2">
        <v>45008</v>
      </c>
      <c r="H900">
        <v>3</v>
      </c>
      <c r="I900">
        <v>29832</v>
      </c>
      <c r="J900" s="1" t="s">
        <v>39</v>
      </c>
    </row>
    <row r="901" spans="1:10" x14ac:dyDescent="0.25">
      <c r="A901">
        <v>900</v>
      </c>
      <c r="B901" s="1" t="s">
        <v>13</v>
      </c>
      <c r="C901">
        <v>40</v>
      </c>
      <c r="D901" s="1" t="s">
        <v>21</v>
      </c>
      <c r="E901" s="1" t="s">
        <v>31</v>
      </c>
      <c r="F901" s="1" t="s">
        <v>28</v>
      </c>
      <c r="G901" s="2">
        <v>44958</v>
      </c>
      <c r="H901">
        <v>11</v>
      </c>
      <c r="I901">
        <v>46116</v>
      </c>
      <c r="J901" s="1" t="s">
        <v>39</v>
      </c>
    </row>
    <row r="902" spans="1:10" x14ac:dyDescent="0.25">
      <c r="A902">
        <v>901</v>
      </c>
      <c r="B902" s="1" t="s">
        <v>13</v>
      </c>
      <c r="C902">
        <v>59</v>
      </c>
      <c r="D902" s="1" t="s">
        <v>21</v>
      </c>
      <c r="E902" s="1" t="s">
        <v>27</v>
      </c>
      <c r="F902" s="1" t="s">
        <v>28</v>
      </c>
      <c r="G902" s="2">
        <v>45139</v>
      </c>
      <c r="H902">
        <v>8</v>
      </c>
      <c r="I902">
        <v>11782</v>
      </c>
      <c r="J902" s="1" t="s">
        <v>24</v>
      </c>
    </row>
    <row r="903" spans="1:10" x14ac:dyDescent="0.25">
      <c r="A903">
        <v>902</v>
      </c>
      <c r="B903" s="1" t="s">
        <v>20</v>
      </c>
      <c r="C903">
        <v>59</v>
      </c>
      <c r="D903" s="1" t="s">
        <v>34</v>
      </c>
      <c r="E903" s="1" t="s">
        <v>31</v>
      </c>
      <c r="F903" s="1" t="s">
        <v>23</v>
      </c>
      <c r="G903" s="2">
        <v>45037</v>
      </c>
      <c r="H903">
        <v>1</v>
      </c>
      <c r="I903">
        <v>40650</v>
      </c>
      <c r="J903" s="1" t="s">
        <v>39</v>
      </c>
    </row>
    <row r="904" spans="1:10" x14ac:dyDescent="0.25">
      <c r="A904">
        <v>903</v>
      </c>
      <c r="B904" s="1" t="s">
        <v>20</v>
      </c>
      <c r="C904">
        <v>48</v>
      </c>
      <c r="D904" s="1" t="s">
        <v>21</v>
      </c>
      <c r="E904" s="1" t="s">
        <v>27</v>
      </c>
      <c r="F904" s="1" t="s">
        <v>23</v>
      </c>
      <c r="G904" s="2">
        <v>45049</v>
      </c>
      <c r="H904">
        <v>5</v>
      </c>
      <c r="I904">
        <v>24366</v>
      </c>
      <c r="J904" s="1" t="s">
        <v>24</v>
      </c>
    </row>
    <row r="905" spans="1:10" x14ac:dyDescent="0.25">
      <c r="A905">
        <v>904</v>
      </c>
      <c r="B905" s="1" t="s">
        <v>13</v>
      </c>
      <c r="C905">
        <v>41</v>
      </c>
      <c r="D905" s="1" t="s">
        <v>21</v>
      </c>
      <c r="E905" s="1" t="s">
        <v>22</v>
      </c>
      <c r="F905" s="1" t="s">
        <v>28</v>
      </c>
      <c r="G905" s="2">
        <v>45212</v>
      </c>
      <c r="H905">
        <v>3</v>
      </c>
      <c r="I905">
        <v>30557</v>
      </c>
      <c r="J905" s="1" t="s">
        <v>24</v>
      </c>
    </row>
    <row r="906" spans="1:10" x14ac:dyDescent="0.25">
      <c r="A906">
        <v>905</v>
      </c>
      <c r="B906" s="1" t="s">
        <v>13</v>
      </c>
      <c r="C906">
        <v>13</v>
      </c>
      <c r="D906" s="1" t="s">
        <v>45</v>
      </c>
      <c r="E906" s="1" t="s">
        <v>35</v>
      </c>
      <c r="F906" s="1" t="s">
        <v>23</v>
      </c>
      <c r="G906" s="2">
        <v>45017</v>
      </c>
      <c r="H906">
        <v>2</v>
      </c>
      <c r="I906">
        <v>7798</v>
      </c>
      <c r="J906" s="1" t="s">
        <v>39</v>
      </c>
    </row>
    <row r="907" spans="1:10" x14ac:dyDescent="0.25">
      <c r="A907">
        <v>906</v>
      </c>
      <c r="B907" s="1" t="s">
        <v>20</v>
      </c>
      <c r="C907">
        <v>45</v>
      </c>
      <c r="D907" s="1" t="s">
        <v>37</v>
      </c>
      <c r="E907" s="1" t="s">
        <v>31</v>
      </c>
      <c r="F907" s="1" t="s">
        <v>28</v>
      </c>
      <c r="G907" s="2">
        <v>45292</v>
      </c>
      <c r="H907">
        <v>8</v>
      </c>
      <c r="I907">
        <v>11627</v>
      </c>
      <c r="J907" s="1" t="s">
        <v>24</v>
      </c>
    </row>
    <row r="908" spans="1:10" x14ac:dyDescent="0.25">
      <c r="A908">
        <v>907</v>
      </c>
      <c r="B908" s="1" t="s">
        <v>20</v>
      </c>
      <c r="C908">
        <v>89</v>
      </c>
      <c r="D908" s="1" t="s">
        <v>37</v>
      </c>
      <c r="E908" s="1" t="s">
        <v>35</v>
      </c>
      <c r="F908" s="1" t="s">
        <v>16</v>
      </c>
      <c r="G908" s="2">
        <v>44931</v>
      </c>
      <c r="H908">
        <v>3</v>
      </c>
      <c r="I908">
        <v>43183</v>
      </c>
      <c r="J908" s="1" t="s">
        <v>24</v>
      </c>
    </row>
    <row r="909" spans="1:10" x14ac:dyDescent="0.25">
      <c r="A909">
        <v>908</v>
      </c>
      <c r="B909" s="1" t="s">
        <v>13</v>
      </c>
      <c r="C909">
        <v>53</v>
      </c>
      <c r="D909" s="1" t="s">
        <v>14</v>
      </c>
      <c r="E909" s="1" t="s">
        <v>35</v>
      </c>
      <c r="F909" s="1" t="s">
        <v>16</v>
      </c>
      <c r="G909" s="2">
        <v>45040</v>
      </c>
      <c r="H909">
        <v>7</v>
      </c>
      <c r="I909">
        <v>14466</v>
      </c>
      <c r="J909" s="1" t="s">
        <v>24</v>
      </c>
    </row>
    <row r="910" spans="1:10" x14ac:dyDescent="0.25">
      <c r="A910">
        <v>909</v>
      </c>
      <c r="B910" s="1" t="s">
        <v>13</v>
      </c>
      <c r="C910">
        <v>42</v>
      </c>
      <c r="D910" s="1" t="s">
        <v>14</v>
      </c>
      <c r="E910" s="1" t="s">
        <v>35</v>
      </c>
      <c r="F910" s="1" t="s">
        <v>32</v>
      </c>
      <c r="G910" s="2">
        <v>44977</v>
      </c>
      <c r="H910">
        <v>12</v>
      </c>
      <c r="I910">
        <v>44614</v>
      </c>
      <c r="J910" s="1" t="s">
        <v>24</v>
      </c>
    </row>
    <row r="911" spans="1:10" x14ac:dyDescent="0.25">
      <c r="A911">
        <v>910</v>
      </c>
      <c r="B911" s="1" t="s">
        <v>20</v>
      </c>
      <c r="C911">
        <v>63</v>
      </c>
      <c r="D911" s="1" t="s">
        <v>45</v>
      </c>
      <c r="E911" s="1" t="s">
        <v>22</v>
      </c>
      <c r="F911" s="1" t="s">
        <v>16</v>
      </c>
      <c r="G911" s="2">
        <v>45098</v>
      </c>
      <c r="H911">
        <v>11</v>
      </c>
      <c r="I911">
        <v>14720</v>
      </c>
      <c r="J911" s="1" t="s">
        <v>39</v>
      </c>
    </row>
    <row r="912" spans="1:10" x14ac:dyDescent="0.25">
      <c r="A912">
        <v>911</v>
      </c>
      <c r="B912" s="1" t="s">
        <v>13</v>
      </c>
      <c r="C912">
        <v>27</v>
      </c>
      <c r="D912" s="1" t="s">
        <v>14</v>
      </c>
      <c r="E912" s="1" t="s">
        <v>15</v>
      </c>
      <c r="F912" s="1" t="s">
        <v>28</v>
      </c>
      <c r="G912" s="2">
        <v>45237</v>
      </c>
      <c r="H912">
        <v>1</v>
      </c>
      <c r="I912">
        <v>43913</v>
      </c>
      <c r="J912" s="1" t="s">
        <v>24</v>
      </c>
    </row>
    <row r="913" spans="1:10" x14ac:dyDescent="0.25">
      <c r="A913">
        <v>912</v>
      </c>
      <c r="B913" s="1" t="s">
        <v>13</v>
      </c>
      <c r="C913">
        <v>38</v>
      </c>
      <c r="D913" s="1" t="s">
        <v>34</v>
      </c>
      <c r="E913" s="1" t="s">
        <v>31</v>
      </c>
      <c r="F913" s="1" t="s">
        <v>23</v>
      </c>
      <c r="G913" s="2">
        <v>44953</v>
      </c>
      <c r="H913">
        <v>6</v>
      </c>
      <c r="I913">
        <v>39292</v>
      </c>
      <c r="J913" s="1" t="s">
        <v>39</v>
      </c>
    </row>
    <row r="914" spans="1:10" x14ac:dyDescent="0.25">
      <c r="A914">
        <v>913</v>
      </c>
      <c r="B914" s="1" t="s">
        <v>13</v>
      </c>
      <c r="C914">
        <v>60</v>
      </c>
      <c r="D914" s="1" t="s">
        <v>30</v>
      </c>
      <c r="E914" s="1" t="s">
        <v>15</v>
      </c>
      <c r="F914" s="1" t="s">
        <v>32</v>
      </c>
      <c r="G914" s="2">
        <v>45261</v>
      </c>
      <c r="H914">
        <v>3</v>
      </c>
      <c r="I914">
        <v>8559</v>
      </c>
      <c r="J914" s="1" t="s">
        <v>24</v>
      </c>
    </row>
    <row r="915" spans="1:10" x14ac:dyDescent="0.25">
      <c r="A915">
        <v>914</v>
      </c>
      <c r="B915" s="1" t="s">
        <v>20</v>
      </c>
      <c r="C915">
        <v>7</v>
      </c>
      <c r="D915" s="1" t="s">
        <v>30</v>
      </c>
      <c r="E915" s="1" t="s">
        <v>15</v>
      </c>
      <c r="F915" s="1" t="s">
        <v>23</v>
      </c>
      <c r="G915" s="2">
        <v>45191</v>
      </c>
      <c r="H915">
        <v>8</v>
      </c>
      <c r="I915">
        <v>42388</v>
      </c>
      <c r="J915" s="1" t="s">
        <v>24</v>
      </c>
    </row>
    <row r="916" spans="1:10" x14ac:dyDescent="0.25">
      <c r="A916">
        <v>915</v>
      </c>
      <c r="B916" s="1" t="s">
        <v>20</v>
      </c>
      <c r="C916">
        <v>5</v>
      </c>
      <c r="D916" s="1" t="s">
        <v>30</v>
      </c>
      <c r="E916" s="1" t="s">
        <v>15</v>
      </c>
      <c r="F916" s="1" t="s">
        <v>28</v>
      </c>
      <c r="G916" s="2">
        <v>44982</v>
      </c>
      <c r="H916">
        <v>6</v>
      </c>
      <c r="I916">
        <v>21158</v>
      </c>
      <c r="J916" s="1" t="s">
        <v>24</v>
      </c>
    </row>
    <row r="917" spans="1:10" x14ac:dyDescent="0.25">
      <c r="A917">
        <v>916</v>
      </c>
      <c r="B917" s="1" t="s">
        <v>20</v>
      </c>
      <c r="C917">
        <v>45</v>
      </c>
      <c r="D917" s="1" t="s">
        <v>45</v>
      </c>
      <c r="E917" s="1" t="s">
        <v>35</v>
      </c>
      <c r="F917" s="1" t="s">
        <v>16</v>
      </c>
      <c r="G917" s="2">
        <v>45242</v>
      </c>
      <c r="H917">
        <v>12</v>
      </c>
      <c r="I917">
        <v>32916</v>
      </c>
      <c r="J917" s="1" t="s">
        <v>39</v>
      </c>
    </row>
    <row r="918" spans="1:10" x14ac:dyDescent="0.25">
      <c r="A918">
        <v>917</v>
      </c>
      <c r="B918" s="1" t="s">
        <v>20</v>
      </c>
      <c r="C918">
        <v>58</v>
      </c>
      <c r="D918" s="1" t="s">
        <v>45</v>
      </c>
      <c r="E918" s="1" t="s">
        <v>27</v>
      </c>
      <c r="F918" s="1" t="s">
        <v>32</v>
      </c>
      <c r="G918" s="2">
        <v>45212</v>
      </c>
      <c r="H918">
        <v>2</v>
      </c>
      <c r="I918">
        <v>24057</v>
      </c>
      <c r="J918" s="1" t="s">
        <v>24</v>
      </c>
    </row>
    <row r="919" spans="1:10" x14ac:dyDescent="0.25">
      <c r="A919">
        <v>918</v>
      </c>
      <c r="B919" s="1" t="s">
        <v>20</v>
      </c>
      <c r="C919">
        <v>31</v>
      </c>
      <c r="D919" s="1" t="s">
        <v>21</v>
      </c>
      <c r="E919" s="1" t="s">
        <v>35</v>
      </c>
      <c r="F919" s="1" t="s">
        <v>28</v>
      </c>
      <c r="G919" s="2">
        <v>44951</v>
      </c>
      <c r="H919">
        <v>6</v>
      </c>
      <c r="I919">
        <v>37892</v>
      </c>
      <c r="J919" s="1" t="s">
        <v>17</v>
      </c>
    </row>
    <row r="920" spans="1:10" x14ac:dyDescent="0.25">
      <c r="A920">
        <v>919</v>
      </c>
      <c r="B920" s="1" t="s">
        <v>20</v>
      </c>
      <c r="C920">
        <v>23</v>
      </c>
      <c r="D920" s="1" t="s">
        <v>30</v>
      </c>
      <c r="E920" s="1" t="s">
        <v>35</v>
      </c>
      <c r="F920" s="1" t="s">
        <v>32</v>
      </c>
      <c r="G920" s="2">
        <v>44930</v>
      </c>
      <c r="H920">
        <v>7</v>
      </c>
      <c r="I920">
        <v>43439</v>
      </c>
      <c r="J920" s="1" t="s">
        <v>24</v>
      </c>
    </row>
    <row r="921" spans="1:10" x14ac:dyDescent="0.25">
      <c r="A921">
        <v>920</v>
      </c>
      <c r="B921" s="1" t="s">
        <v>20</v>
      </c>
      <c r="C921">
        <v>42</v>
      </c>
      <c r="D921" s="1" t="s">
        <v>34</v>
      </c>
      <c r="E921" s="1" t="s">
        <v>15</v>
      </c>
      <c r="F921" s="1" t="s">
        <v>32</v>
      </c>
      <c r="G921" s="2">
        <v>45196</v>
      </c>
      <c r="H921">
        <v>5</v>
      </c>
      <c r="I921">
        <v>13706</v>
      </c>
      <c r="J921" s="1" t="s">
        <v>24</v>
      </c>
    </row>
    <row r="922" spans="1:10" x14ac:dyDescent="0.25">
      <c r="A922">
        <v>921</v>
      </c>
      <c r="B922" s="1" t="s">
        <v>13</v>
      </c>
      <c r="C922">
        <v>10</v>
      </c>
      <c r="D922" s="1" t="s">
        <v>14</v>
      </c>
      <c r="E922" s="1" t="s">
        <v>35</v>
      </c>
      <c r="F922" s="1" t="s">
        <v>16</v>
      </c>
      <c r="G922" s="2">
        <v>45122</v>
      </c>
      <c r="H922">
        <v>3</v>
      </c>
      <c r="I922">
        <v>14070</v>
      </c>
      <c r="J922" s="1" t="s">
        <v>24</v>
      </c>
    </row>
    <row r="923" spans="1:10" x14ac:dyDescent="0.25">
      <c r="A923">
        <v>922</v>
      </c>
      <c r="B923" s="1" t="s">
        <v>13</v>
      </c>
      <c r="C923">
        <v>32</v>
      </c>
      <c r="D923" s="1" t="s">
        <v>34</v>
      </c>
      <c r="E923" s="1" t="s">
        <v>15</v>
      </c>
      <c r="F923" s="1" t="s">
        <v>28</v>
      </c>
      <c r="G923" s="2">
        <v>45197</v>
      </c>
      <c r="H923">
        <v>4</v>
      </c>
      <c r="I923">
        <v>42902</v>
      </c>
      <c r="J923" s="1" t="s">
        <v>17</v>
      </c>
    </row>
    <row r="924" spans="1:10" x14ac:dyDescent="0.25">
      <c r="A924">
        <v>923</v>
      </c>
      <c r="B924" s="1" t="s">
        <v>13</v>
      </c>
      <c r="C924">
        <v>53</v>
      </c>
      <c r="D924" s="1" t="s">
        <v>14</v>
      </c>
      <c r="E924" s="1" t="s">
        <v>27</v>
      </c>
      <c r="F924" s="1" t="s">
        <v>23</v>
      </c>
      <c r="G924" s="2">
        <v>44992</v>
      </c>
      <c r="H924">
        <v>4</v>
      </c>
      <c r="I924">
        <v>2924</v>
      </c>
      <c r="J924" s="1" t="s">
        <v>39</v>
      </c>
    </row>
    <row r="925" spans="1:10" x14ac:dyDescent="0.25">
      <c r="A925">
        <v>924</v>
      </c>
      <c r="B925" s="1" t="s">
        <v>13</v>
      </c>
      <c r="C925">
        <v>30</v>
      </c>
      <c r="D925" s="1" t="s">
        <v>30</v>
      </c>
      <c r="E925" s="1" t="s">
        <v>31</v>
      </c>
      <c r="F925" s="1" t="s">
        <v>32</v>
      </c>
      <c r="G925" s="2">
        <v>45090</v>
      </c>
      <c r="H925">
        <v>6</v>
      </c>
      <c r="I925">
        <v>28478</v>
      </c>
      <c r="J925" s="1" t="s">
        <v>24</v>
      </c>
    </row>
    <row r="926" spans="1:10" x14ac:dyDescent="0.25">
      <c r="A926">
        <v>925</v>
      </c>
      <c r="B926" s="1" t="s">
        <v>13</v>
      </c>
      <c r="C926">
        <v>39</v>
      </c>
      <c r="D926" s="1" t="s">
        <v>30</v>
      </c>
      <c r="E926" s="1" t="s">
        <v>15</v>
      </c>
      <c r="F926" s="1" t="s">
        <v>32</v>
      </c>
      <c r="G926" s="2">
        <v>45041</v>
      </c>
      <c r="H926">
        <v>10</v>
      </c>
      <c r="I926">
        <v>7506</v>
      </c>
      <c r="J926" s="1" t="s">
        <v>24</v>
      </c>
    </row>
    <row r="927" spans="1:10" x14ac:dyDescent="0.25">
      <c r="A927">
        <v>926</v>
      </c>
      <c r="B927" s="1" t="s">
        <v>13</v>
      </c>
      <c r="C927">
        <v>31</v>
      </c>
      <c r="D927" s="1" t="s">
        <v>30</v>
      </c>
      <c r="E927" s="1" t="s">
        <v>27</v>
      </c>
      <c r="F927" s="1" t="s">
        <v>23</v>
      </c>
      <c r="G927" s="2">
        <v>44964</v>
      </c>
      <c r="H927">
        <v>1</v>
      </c>
      <c r="I927">
        <v>48418</v>
      </c>
      <c r="J927" s="1" t="s">
        <v>24</v>
      </c>
    </row>
    <row r="928" spans="1:10" x14ac:dyDescent="0.25">
      <c r="A928">
        <v>927</v>
      </c>
      <c r="B928" s="1" t="s">
        <v>13</v>
      </c>
      <c r="C928">
        <v>82</v>
      </c>
      <c r="D928" s="1" t="s">
        <v>45</v>
      </c>
      <c r="E928" s="1" t="s">
        <v>31</v>
      </c>
      <c r="F928" s="1" t="s">
        <v>28</v>
      </c>
      <c r="G928" s="2">
        <v>45104</v>
      </c>
      <c r="H928">
        <v>11</v>
      </c>
      <c r="I928">
        <v>37163</v>
      </c>
      <c r="J928" s="1" t="s">
        <v>39</v>
      </c>
    </row>
    <row r="929" spans="1:10" x14ac:dyDescent="0.25">
      <c r="A929">
        <v>928</v>
      </c>
      <c r="B929" s="1" t="s">
        <v>20</v>
      </c>
      <c r="C929">
        <v>2</v>
      </c>
      <c r="D929" s="1" t="s">
        <v>14</v>
      </c>
      <c r="E929" s="1" t="s">
        <v>22</v>
      </c>
      <c r="F929" s="1" t="s">
        <v>32</v>
      </c>
      <c r="G929" s="2">
        <v>45167</v>
      </c>
      <c r="H929">
        <v>4</v>
      </c>
      <c r="I929">
        <v>26604</v>
      </c>
      <c r="J929" s="1" t="s">
        <v>24</v>
      </c>
    </row>
    <row r="930" spans="1:10" x14ac:dyDescent="0.25">
      <c r="A930">
        <v>929</v>
      </c>
      <c r="B930" s="1" t="s">
        <v>20</v>
      </c>
      <c r="C930">
        <v>78</v>
      </c>
      <c r="D930" s="1" t="s">
        <v>45</v>
      </c>
      <c r="E930" s="1" t="s">
        <v>15</v>
      </c>
      <c r="F930" s="1" t="s">
        <v>32</v>
      </c>
      <c r="G930" s="2">
        <v>45016</v>
      </c>
      <c r="H930">
        <v>10</v>
      </c>
      <c r="I930">
        <v>17310</v>
      </c>
      <c r="J930" s="1" t="s">
        <v>39</v>
      </c>
    </row>
    <row r="931" spans="1:10" x14ac:dyDescent="0.25">
      <c r="A931">
        <v>930</v>
      </c>
      <c r="B931" s="1" t="s">
        <v>13</v>
      </c>
      <c r="C931">
        <v>77</v>
      </c>
      <c r="D931" s="1" t="s">
        <v>45</v>
      </c>
      <c r="E931" s="1" t="s">
        <v>15</v>
      </c>
      <c r="F931" s="1" t="s">
        <v>32</v>
      </c>
      <c r="G931" s="2">
        <v>45028</v>
      </c>
      <c r="H931">
        <v>13</v>
      </c>
      <c r="I931">
        <v>10226</v>
      </c>
      <c r="J931" s="1" t="s">
        <v>17</v>
      </c>
    </row>
    <row r="932" spans="1:10" x14ac:dyDescent="0.25">
      <c r="A932">
        <v>931</v>
      </c>
      <c r="B932" s="1" t="s">
        <v>13</v>
      </c>
      <c r="C932">
        <v>12</v>
      </c>
      <c r="D932" s="1" t="s">
        <v>37</v>
      </c>
      <c r="E932" s="1" t="s">
        <v>22</v>
      </c>
      <c r="F932" s="1" t="s">
        <v>28</v>
      </c>
      <c r="G932" s="2">
        <v>44975</v>
      </c>
      <c r="H932">
        <v>4</v>
      </c>
      <c r="I932">
        <v>13781</v>
      </c>
      <c r="J932" s="1" t="s">
        <v>24</v>
      </c>
    </row>
    <row r="933" spans="1:10" x14ac:dyDescent="0.25">
      <c r="A933">
        <v>932</v>
      </c>
      <c r="B933" s="1" t="s">
        <v>20</v>
      </c>
      <c r="C933">
        <v>39</v>
      </c>
      <c r="D933" s="1" t="s">
        <v>34</v>
      </c>
      <c r="E933" s="1" t="s">
        <v>22</v>
      </c>
      <c r="F933" s="1" t="s">
        <v>28</v>
      </c>
      <c r="G933" s="2">
        <v>45200</v>
      </c>
      <c r="H933">
        <v>10</v>
      </c>
      <c r="I933">
        <v>7515</v>
      </c>
      <c r="J933" s="1" t="s">
        <v>39</v>
      </c>
    </row>
    <row r="934" spans="1:10" x14ac:dyDescent="0.25">
      <c r="A934">
        <v>933</v>
      </c>
      <c r="B934" s="1" t="s">
        <v>13</v>
      </c>
      <c r="C934">
        <v>66</v>
      </c>
      <c r="D934" s="1" t="s">
        <v>34</v>
      </c>
      <c r="E934" s="1" t="s">
        <v>15</v>
      </c>
      <c r="F934" s="1" t="s">
        <v>23</v>
      </c>
      <c r="G934" s="2">
        <v>45254</v>
      </c>
      <c r="H934">
        <v>1</v>
      </c>
      <c r="I934">
        <v>38133</v>
      </c>
      <c r="J934" s="1" t="s">
        <v>24</v>
      </c>
    </row>
    <row r="935" spans="1:10" x14ac:dyDescent="0.25">
      <c r="A935">
        <v>934</v>
      </c>
      <c r="B935" s="1" t="s">
        <v>13</v>
      </c>
      <c r="C935">
        <v>13</v>
      </c>
      <c r="D935" s="1" t="s">
        <v>21</v>
      </c>
      <c r="E935" s="1" t="s">
        <v>22</v>
      </c>
      <c r="F935" s="1" t="s">
        <v>28</v>
      </c>
      <c r="G935" s="2">
        <v>45102</v>
      </c>
      <c r="H935">
        <v>9</v>
      </c>
      <c r="I935">
        <v>18972</v>
      </c>
      <c r="J935" s="1" t="s">
        <v>24</v>
      </c>
    </row>
    <row r="936" spans="1:10" x14ac:dyDescent="0.25">
      <c r="A936">
        <v>935</v>
      </c>
      <c r="B936" s="1" t="s">
        <v>20</v>
      </c>
      <c r="C936">
        <v>46</v>
      </c>
      <c r="D936" s="1" t="s">
        <v>45</v>
      </c>
      <c r="E936" s="1" t="s">
        <v>35</v>
      </c>
      <c r="F936" s="1" t="s">
        <v>28</v>
      </c>
      <c r="G936" s="2">
        <v>45027</v>
      </c>
      <c r="H936">
        <v>4</v>
      </c>
      <c r="I936">
        <v>34092</v>
      </c>
      <c r="J936" s="1" t="s">
        <v>24</v>
      </c>
    </row>
    <row r="937" spans="1:10" x14ac:dyDescent="0.25">
      <c r="A937">
        <v>936</v>
      </c>
      <c r="B937" s="1" t="s">
        <v>13</v>
      </c>
      <c r="C937">
        <v>27</v>
      </c>
      <c r="D937" s="1" t="s">
        <v>14</v>
      </c>
      <c r="E937" s="1" t="s">
        <v>31</v>
      </c>
      <c r="F937" s="1" t="s">
        <v>16</v>
      </c>
      <c r="G937" s="2">
        <v>45038</v>
      </c>
      <c r="H937">
        <v>7</v>
      </c>
      <c r="I937">
        <v>13410</v>
      </c>
      <c r="J937" s="1" t="s">
        <v>24</v>
      </c>
    </row>
    <row r="938" spans="1:10" x14ac:dyDescent="0.25">
      <c r="A938">
        <v>937</v>
      </c>
      <c r="B938" s="1" t="s">
        <v>20</v>
      </c>
      <c r="C938">
        <v>17</v>
      </c>
      <c r="D938" s="1" t="s">
        <v>37</v>
      </c>
      <c r="E938" s="1" t="s">
        <v>31</v>
      </c>
      <c r="F938" s="1" t="s">
        <v>23</v>
      </c>
      <c r="G938" s="2">
        <v>45115</v>
      </c>
      <c r="H938">
        <v>12</v>
      </c>
      <c r="I938">
        <v>21522</v>
      </c>
      <c r="J938" s="1" t="s">
        <v>39</v>
      </c>
    </row>
    <row r="939" spans="1:10" x14ac:dyDescent="0.25">
      <c r="A939">
        <v>938</v>
      </c>
      <c r="B939" s="1" t="s">
        <v>13</v>
      </c>
      <c r="C939">
        <v>60</v>
      </c>
      <c r="D939" s="1" t="s">
        <v>37</v>
      </c>
      <c r="E939" s="1" t="s">
        <v>31</v>
      </c>
      <c r="F939" s="1" t="s">
        <v>32</v>
      </c>
      <c r="G939" s="2">
        <v>45130</v>
      </c>
      <c r="H939">
        <v>14</v>
      </c>
      <c r="I939">
        <v>11095</v>
      </c>
      <c r="J939" s="1" t="s">
        <v>24</v>
      </c>
    </row>
    <row r="940" spans="1:10" x14ac:dyDescent="0.25">
      <c r="A940">
        <v>939</v>
      </c>
      <c r="B940" s="1" t="s">
        <v>20</v>
      </c>
      <c r="C940">
        <v>64</v>
      </c>
      <c r="D940" s="1" t="s">
        <v>34</v>
      </c>
      <c r="E940" s="1" t="s">
        <v>35</v>
      </c>
      <c r="F940" s="1" t="s">
        <v>28</v>
      </c>
      <c r="G940" s="2">
        <v>45288</v>
      </c>
      <c r="H940">
        <v>3</v>
      </c>
      <c r="I940">
        <v>25047</v>
      </c>
      <c r="J940" s="1" t="s">
        <v>24</v>
      </c>
    </row>
    <row r="941" spans="1:10" x14ac:dyDescent="0.25">
      <c r="A941">
        <v>940</v>
      </c>
      <c r="B941" s="1" t="s">
        <v>20</v>
      </c>
      <c r="C941">
        <v>88</v>
      </c>
      <c r="D941" s="1" t="s">
        <v>45</v>
      </c>
      <c r="E941" s="1" t="s">
        <v>22</v>
      </c>
      <c r="F941" s="1" t="s">
        <v>32</v>
      </c>
      <c r="G941" s="2">
        <v>45085</v>
      </c>
      <c r="H941">
        <v>10</v>
      </c>
      <c r="I941">
        <v>22470</v>
      </c>
      <c r="J941" s="1" t="s">
        <v>24</v>
      </c>
    </row>
    <row r="942" spans="1:10" x14ac:dyDescent="0.25">
      <c r="A942">
        <v>941</v>
      </c>
      <c r="B942" s="1" t="s">
        <v>20</v>
      </c>
      <c r="C942">
        <v>35</v>
      </c>
      <c r="D942" s="1" t="s">
        <v>21</v>
      </c>
      <c r="E942" s="1" t="s">
        <v>27</v>
      </c>
      <c r="F942" s="1" t="s">
        <v>32</v>
      </c>
      <c r="G942" s="2">
        <v>45069</v>
      </c>
      <c r="H942">
        <v>12</v>
      </c>
      <c r="I942">
        <v>45129</v>
      </c>
      <c r="J942" s="1" t="s">
        <v>24</v>
      </c>
    </row>
    <row r="943" spans="1:10" x14ac:dyDescent="0.25">
      <c r="A943">
        <v>942</v>
      </c>
      <c r="B943" s="1" t="s">
        <v>13</v>
      </c>
      <c r="C943">
        <v>70</v>
      </c>
      <c r="D943" s="1" t="s">
        <v>45</v>
      </c>
      <c r="E943" s="1" t="s">
        <v>22</v>
      </c>
      <c r="F943" s="1" t="s">
        <v>16</v>
      </c>
      <c r="G943" s="2">
        <v>44996</v>
      </c>
      <c r="H943">
        <v>3</v>
      </c>
      <c r="I943">
        <v>10531</v>
      </c>
      <c r="J943" s="1" t="s">
        <v>24</v>
      </c>
    </row>
    <row r="944" spans="1:10" x14ac:dyDescent="0.25">
      <c r="A944">
        <v>943</v>
      </c>
      <c r="B944" s="1" t="s">
        <v>20</v>
      </c>
      <c r="C944">
        <v>83</v>
      </c>
      <c r="D944" s="1" t="s">
        <v>30</v>
      </c>
      <c r="E944" s="1" t="s">
        <v>15</v>
      </c>
      <c r="F944" s="1" t="s">
        <v>28</v>
      </c>
      <c r="G944" s="2">
        <v>45161</v>
      </c>
      <c r="H944">
        <v>14</v>
      </c>
      <c r="I944">
        <v>39038</v>
      </c>
      <c r="J944" s="1" t="s">
        <v>24</v>
      </c>
    </row>
    <row r="945" spans="1:10" x14ac:dyDescent="0.25">
      <c r="A945">
        <v>944</v>
      </c>
      <c r="B945" s="1" t="s">
        <v>13</v>
      </c>
      <c r="C945">
        <v>30</v>
      </c>
      <c r="D945" s="1" t="s">
        <v>45</v>
      </c>
      <c r="E945" s="1" t="s">
        <v>31</v>
      </c>
      <c r="F945" s="1" t="s">
        <v>23</v>
      </c>
      <c r="G945" s="2">
        <v>45132</v>
      </c>
      <c r="H945">
        <v>8</v>
      </c>
      <c r="I945">
        <v>24403</v>
      </c>
      <c r="J945" s="1" t="s">
        <v>24</v>
      </c>
    </row>
    <row r="946" spans="1:10" x14ac:dyDescent="0.25">
      <c r="A946">
        <v>945</v>
      </c>
      <c r="B946" s="1" t="s">
        <v>13</v>
      </c>
      <c r="C946">
        <v>71</v>
      </c>
      <c r="D946" s="1" t="s">
        <v>30</v>
      </c>
      <c r="E946" s="1" t="s">
        <v>22</v>
      </c>
      <c r="F946" s="1" t="s">
        <v>28</v>
      </c>
      <c r="G946" s="2">
        <v>44936</v>
      </c>
      <c r="H946">
        <v>8</v>
      </c>
      <c r="I946">
        <v>44674</v>
      </c>
      <c r="J946" s="1" t="s">
        <v>39</v>
      </c>
    </row>
    <row r="947" spans="1:10" x14ac:dyDescent="0.25">
      <c r="A947">
        <v>946</v>
      </c>
      <c r="B947" s="1" t="s">
        <v>13</v>
      </c>
      <c r="C947">
        <v>74</v>
      </c>
      <c r="D947" s="1" t="s">
        <v>30</v>
      </c>
      <c r="E947" s="1" t="s">
        <v>27</v>
      </c>
      <c r="F947" s="1" t="s">
        <v>32</v>
      </c>
      <c r="G947" s="2">
        <v>45058</v>
      </c>
      <c r="H947">
        <v>11</v>
      </c>
      <c r="I947">
        <v>31122</v>
      </c>
      <c r="J947" s="1" t="s">
        <v>39</v>
      </c>
    </row>
    <row r="948" spans="1:10" x14ac:dyDescent="0.25">
      <c r="A948">
        <v>947</v>
      </c>
      <c r="B948" s="1" t="s">
        <v>13</v>
      </c>
      <c r="C948">
        <v>63</v>
      </c>
      <c r="D948" s="1" t="s">
        <v>21</v>
      </c>
      <c r="E948" s="1" t="s">
        <v>15</v>
      </c>
      <c r="F948" s="1" t="s">
        <v>23</v>
      </c>
      <c r="G948" s="2">
        <v>45229</v>
      </c>
      <c r="H948">
        <v>12</v>
      </c>
      <c r="I948">
        <v>18940</v>
      </c>
      <c r="J948" s="1" t="s">
        <v>24</v>
      </c>
    </row>
    <row r="949" spans="1:10" x14ac:dyDescent="0.25">
      <c r="A949">
        <v>948</v>
      </c>
      <c r="B949" s="1" t="s">
        <v>20</v>
      </c>
      <c r="C949">
        <v>28</v>
      </c>
      <c r="D949" s="1" t="s">
        <v>14</v>
      </c>
      <c r="E949" s="1" t="s">
        <v>35</v>
      </c>
      <c r="F949" s="1" t="s">
        <v>28</v>
      </c>
      <c r="G949" s="2">
        <v>45291</v>
      </c>
      <c r="H949">
        <v>1</v>
      </c>
      <c r="I949">
        <v>31831</v>
      </c>
      <c r="J949" s="1" t="s">
        <v>39</v>
      </c>
    </row>
    <row r="950" spans="1:10" x14ac:dyDescent="0.25">
      <c r="A950">
        <v>949</v>
      </c>
      <c r="B950" s="1" t="s">
        <v>20</v>
      </c>
      <c r="C950">
        <v>60</v>
      </c>
      <c r="D950" s="1" t="s">
        <v>34</v>
      </c>
      <c r="E950" s="1" t="s">
        <v>35</v>
      </c>
      <c r="F950" s="1" t="s">
        <v>32</v>
      </c>
      <c r="G950" s="2">
        <v>45272</v>
      </c>
      <c r="H950">
        <v>10</v>
      </c>
      <c r="I950">
        <v>13279</v>
      </c>
      <c r="J950" s="1" t="s">
        <v>24</v>
      </c>
    </row>
    <row r="951" spans="1:10" x14ac:dyDescent="0.25">
      <c r="A951">
        <v>950</v>
      </c>
      <c r="B951" s="1" t="s">
        <v>13</v>
      </c>
      <c r="C951">
        <v>79</v>
      </c>
      <c r="D951" s="1" t="s">
        <v>45</v>
      </c>
      <c r="E951" s="1" t="s">
        <v>27</v>
      </c>
      <c r="F951" s="1" t="s">
        <v>32</v>
      </c>
      <c r="G951" s="2">
        <v>45236</v>
      </c>
      <c r="H951">
        <v>2</v>
      </c>
      <c r="I951">
        <v>40220</v>
      </c>
      <c r="J951" s="1" t="s">
        <v>24</v>
      </c>
    </row>
    <row r="952" spans="1:10" x14ac:dyDescent="0.25">
      <c r="A952">
        <v>951</v>
      </c>
      <c r="B952" s="1" t="s">
        <v>13</v>
      </c>
      <c r="C952">
        <v>37</v>
      </c>
      <c r="D952" s="1" t="s">
        <v>30</v>
      </c>
      <c r="E952" s="1" t="s">
        <v>15</v>
      </c>
      <c r="F952" s="1" t="s">
        <v>16</v>
      </c>
      <c r="G952" s="2">
        <v>45011</v>
      </c>
      <c r="H952">
        <v>8</v>
      </c>
      <c r="I952">
        <v>8477</v>
      </c>
      <c r="J952" s="1" t="s">
        <v>24</v>
      </c>
    </row>
    <row r="953" spans="1:10" x14ac:dyDescent="0.25">
      <c r="A953">
        <v>952</v>
      </c>
      <c r="B953" s="1" t="s">
        <v>20</v>
      </c>
      <c r="C953">
        <v>22</v>
      </c>
      <c r="D953" s="1" t="s">
        <v>45</v>
      </c>
      <c r="E953" s="1" t="s">
        <v>31</v>
      </c>
      <c r="F953" s="1" t="s">
        <v>16</v>
      </c>
      <c r="G953" s="2">
        <v>45017</v>
      </c>
      <c r="H953">
        <v>1</v>
      </c>
      <c r="I953">
        <v>19400</v>
      </c>
      <c r="J953" s="1" t="s">
        <v>24</v>
      </c>
    </row>
    <row r="954" spans="1:10" x14ac:dyDescent="0.25">
      <c r="A954">
        <v>953</v>
      </c>
      <c r="B954" s="1" t="s">
        <v>13</v>
      </c>
      <c r="C954">
        <v>68</v>
      </c>
      <c r="D954" s="1" t="s">
        <v>14</v>
      </c>
      <c r="E954" s="1" t="s">
        <v>22</v>
      </c>
      <c r="F954" s="1" t="s">
        <v>16</v>
      </c>
      <c r="G954" s="2">
        <v>44953</v>
      </c>
      <c r="H954">
        <v>12</v>
      </c>
      <c r="I954">
        <v>8470</v>
      </c>
      <c r="J954" s="1" t="s">
        <v>24</v>
      </c>
    </row>
    <row r="955" spans="1:10" x14ac:dyDescent="0.25">
      <c r="A955">
        <v>954</v>
      </c>
      <c r="B955" s="1" t="s">
        <v>20</v>
      </c>
      <c r="C955">
        <v>20</v>
      </c>
      <c r="D955" s="1" t="s">
        <v>34</v>
      </c>
      <c r="E955" s="1" t="s">
        <v>15</v>
      </c>
      <c r="F955" s="1" t="s">
        <v>32</v>
      </c>
      <c r="G955" s="2">
        <v>45239</v>
      </c>
      <c r="H955">
        <v>8</v>
      </c>
      <c r="I955">
        <v>4062</v>
      </c>
      <c r="J955" s="1" t="s">
        <v>39</v>
      </c>
    </row>
    <row r="956" spans="1:10" x14ac:dyDescent="0.25">
      <c r="A956">
        <v>955</v>
      </c>
      <c r="B956" s="1" t="s">
        <v>13</v>
      </c>
      <c r="C956">
        <v>68</v>
      </c>
      <c r="D956" s="1" t="s">
        <v>14</v>
      </c>
      <c r="E956" s="1" t="s">
        <v>35</v>
      </c>
      <c r="F956" s="1" t="s">
        <v>28</v>
      </c>
      <c r="G956" s="2">
        <v>45188</v>
      </c>
      <c r="H956">
        <v>8</v>
      </c>
      <c r="I956">
        <v>43798</v>
      </c>
      <c r="J956" s="1" t="s">
        <v>24</v>
      </c>
    </row>
    <row r="957" spans="1:10" x14ac:dyDescent="0.25">
      <c r="A957">
        <v>956</v>
      </c>
      <c r="B957" s="1" t="s">
        <v>13</v>
      </c>
      <c r="C957">
        <v>64</v>
      </c>
      <c r="D957" s="1" t="s">
        <v>34</v>
      </c>
      <c r="E957" s="1" t="s">
        <v>27</v>
      </c>
      <c r="F957" s="1" t="s">
        <v>16</v>
      </c>
      <c r="G957" s="2">
        <v>44943</v>
      </c>
      <c r="H957">
        <v>2</v>
      </c>
      <c r="I957">
        <v>21880</v>
      </c>
      <c r="J957" s="1" t="s">
        <v>39</v>
      </c>
    </row>
    <row r="958" spans="1:10" x14ac:dyDescent="0.25">
      <c r="A958">
        <v>957</v>
      </c>
      <c r="B958" s="1" t="s">
        <v>20</v>
      </c>
      <c r="C958">
        <v>17</v>
      </c>
      <c r="D958" s="1" t="s">
        <v>37</v>
      </c>
      <c r="E958" s="1" t="s">
        <v>27</v>
      </c>
      <c r="F958" s="1" t="s">
        <v>28</v>
      </c>
      <c r="G958" s="2">
        <v>45011</v>
      </c>
      <c r="H958">
        <v>4</v>
      </c>
      <c r="I958">
        <v>36581</v>
      </c>
      <c r="J958" s="1" t="s">
        <v>24</v>
      </c>
    </row>
    <row r="959" spans="1:10" x14ac:dyDescent="0.25">
      <c r="A959">
        <v>958</v>
      </c>
      <c r="B959" s="1" t="s">
        <v>13</v>
      </c>
      <c r="C959">
        <v>12</v>
      </c>
      <c r="D959" s="1" t="s">
        <v>34</v>
      </c>
      <c r="E959" s="1" t="s">
        <v>22</v>
      </c>
      <c r="F959" s="1" t="s">
        <v>16</v>
      </c>
      <c r="G959" s="2">
        <v>45251</v>
      </c>
      <c r="H959">
        <v>6</v>
      </c>
      <c r="I959">
        <v>46439</v>
      </c>
      <c r="J959" s="1" t="s">
        <v>39</v>
      </c>
    </row>
    <row r="960" spans="1:10" x14ac:dyDescent="0.25">
      <c r="A960">
        <v>959</v>
      </c>
      <c r="B960" s="1" t="s">
        <v>20</v>
      </c>
      <c r="C960">
        <v>22</v>
      </c>
      <c r="D960" s="1" t="s">
        <v>21</v>
      </c>
      <c r="E960" s="1" t="s">
        <v>27</v>
      </c>
      <c r="F960" s="1" t="s">
        <v>23</v>
      </c>
      <c r="G960" s="2">
        <v>45166</v>
      </c>
      <c r="H960">
        <v>12</v>
      </c>
      <c r="I960">
        <v>16308</v>
      </c>
      <c r="J960" s="1" t="s">
        <v>24</v>
      </c>
    </row>
    <row r="961" spans="1:10" x14ac:dyDescent="0.25">
      <c r="A961">
        <v>960</v>
      </c>
      <c r="B961" s="1" t="s">
        <v>13</v>
      </c>
      <c r="C961">
        <v>17</v>
      </c>
      <c r="D961" s="1" t="s">
        <v>14</v>
      </c>
      <c r="E961" s="1" t="s">
        <v>27</v>
      </c>
      <c r="F961" s="1" t="s">
        <v>23</v>
      </c>
      <c r="G961" s="2">
        <v>44946</v>
      </c>
      <c r="H961">
        <v>11</v>
      </c>
      <c r="I961">
        <v>28027</v>
      </c>
      <c r="J961" s="1" t="s">
        <v>24</v>
      </c>
    </row>
    <row r="962" spans="1:10" x14ac:dyDescent="0.25">
      <c r="A962">
        <v>961</v>
      </c>
      <c r="B962" s="1" t="s">
        <v>13</v>
      </c>
      <c r="C962">
        <v>10</v>
      </c>
      <c r="D962" s="1" t="s">
        <v>30</v>
      </c>
      <c r="E962" s="1" t="s">
        <v>15</v>
      </c>
      <c r="F962" s="1" t="s">
        <v>16</v>
      </c>
      <c r="G962" s="2">
        <v>45016</v>
      </c>
      <c r="H962">
        <v>9</v>
      </c>
      <c r="I962">
        <v>32720</v>
      </c>
      <c r="J962" s="1" t="s">
        <v>24</v>
      </c>
    </row>
    <row r="963" spans="1:10" x14ac:dyDescent="0.25">
      <c r="A963">
        <v>962</v>
      </c>
      <c r="B963" s="1" t="s">
        <v>13</v>
      </c>
      <c r="C963">
        <v>65</v>
      </c>
      <c r="D963" s="1" t="s">
        <v>37</v>
      </c>
      <c r="E963" s="1" t="s">
        <v>31</v>
      </c>
      <c r="F963" s="1" t="s">
        <v>32</v>
      </c>
      <c r="G963" s="2">
        <v>45152</v>
      </c>
      <c r="H963">
        <v>8</v>
      </c>
      <c r="I963">
        <v>37081</v>
      </c>
      <c r="J963" s="1" t="s">
        <v>24</v>
      </c>
    </row>
    <row r="964" spans="1:10" x14ac:dyDescent="0.25">
      <c r="A964">
        <v>963</v>
      </c>
      <c r="B964" s="1" t="s">
        <v>20</v>
      </c>
      <c r="C964">
        <v>22</v>
      </c>
      <c r="D964" s="1" t="s">
        <v>21</v>
      </c>
      <c r="E964" s="1" t="s">
        <v>22</v>
      </c>
      <c r="F964" s="1" t="s">
        <v>16</v>
      </c>
      <c r="G964" s="2">
        <v>45001</v>
      </c>
      <c r="H964">
        <v>12</v>
      </c>
      <c r="I964">
        <v>11706</v>
      </c>
      <c r="J964" s="1" t="s">
        <v>24</v>
      </c>
    </row>
    <row r="965" spans="1:10" x14ac:dyDescent="0.25">
      <c r="A965">
        <v>964</v>
      </c>
      <c r="B965" s="1" t="s">
        <v>13</v>
      </c>
      <c r="C965">
        <v>82</v>
      </c>
      <c r="D965" s="1" t="s">
        <v>45</v>
      </c>
      <c r="E965" s="1" t="s">
        <v>15</v>
      </c>
      <c r="F965" s="1" t="s">
        <v>16</v>
      </c>
      <c r="G965" s="2">
        <v>45139</v>
      </c>
      <c r="H965">
        <v>8</v>
      </c>
      <c r="I965">
        <v>11837</v>
      </c>
      <c r="J965" s="1" t="s">
        <v>39</v>
      </c>
    </row>
    <row r="966" spans="1:10" x14ac:dyDescent="0.25">
      <c r="A966">
        <v>965</v>
      </c>
      <c r="B966" s="1" t="s">
        <v>13</v>
      </c>
      <c r="C966">
        <v>50</v>
      </c>
      <c r="D966" s="1" t="s">
        <v>14</v>
      </c>
      <c r="E966" s="1" t="s">
        <v>31</v>
      </c>
      <c r="F966" s="1" t="s">
        <v>32</v>
      </c>
      <c r="G966" s="2">
        <v>45220</v>
      </c>
      <c r="H966">
        <v>7</v>
      </c>
      <c r="I966">
        <v>40599</v>
      </c>
      <c r="J966" s="1" t="s">
        <v>24</v>
      </c>
    </row>
    <row r="967" spans="1:10" x14ac:dyDescent="0.25">
      <c r="A967">
        <v>966</v>
      </c>
      <c r="B967" s="1" t="s">
        <v>13</v>
      </c>
      <c r="C967">
        <v>14</v>
      </c>
      <c r="D967" s="1" t="s">
        <v>30</v>
      </c>
      <c r="E967" s="1" t="s">
        <v>15</v>
      </c>
      <c r="F967" s="1" t="s">
        <v>23</v>
      </c>
      <c r="G967" s="2">
        <v>45172</v>
      </c>
      <c r="H967">
        <v>14</v>
      </c>
      <c r="I967">
        <v>38824</v>
      </c>
      <c r="J967" s="1" t="s">
        <v>39</v>
      </c>
    </row>
    <row r="968" spans="1:10" x14ac:dyDescent="0.25">
      <c r="A968">
        <v>967</v>
      </c>
      <c r="B968" s="1" t="s">
        <v>13</v>
      </c>
      <c r="C968">
        <v>64</v>
      </c>
      <c r="D968" s="1" t="s">
        <v>34</v>
      </c>
      <c r="E968" s="1" t="s">
        <v>15</v>
      </c>
      <c r="F968" s="1" t="s">
        <v>28</v>
      </c>
      <c r="G968" s="2">
        <v>45217</v>
      </c>
      <c r="H968">
        <v>13</v>
      </c>
      <c r="I968">
        <v>35073</v>
      </c>
      <c r="J968" s="1" t="s">
        <v>24</v>
      </c>
    </row>
    <row r="969" spans="1:10" x14ac:dyDescent="0.25">
      <c r="A969">
        <v>968</v>
      </c>
      <c r="B969" s="1" t="s">
        <v>20</v>
      </c>
      <c r="C969">
        <v>47</v>
      </c>
      <c r="D969" s="1" t="s">
        <v>30</v>
      </c>
      <c r="E969" s="1" t="s">
        <v>27</v>
      </c>
      <c r="F969" s="1" t="s">
        <v>16</v>
      </c>
      <c r="G969" s="2">
        <v>45117</v>
      </c>
      <c r="H969">
        <v>9</v>
      </c>
      <c r="I969">
        <v>49115</v>
      </c>
      <c r="J969" s="1" t="s">
        <v>39</v>
      </c>
    </row>
    <row r="970" spans="1:10" x14ac:dyDescent="0.25">
      <c r="A970">
        <v>969</v>
      </c>
      <c r="B970" s="1" t="s">
        <v>20</v>
      </c>
      <c r="C970">
        <v>29</v>
      </c>
      <c r="D970" s="1" t="s">
        <v>45</v>
      </c>
      <c r="E970" s="1" t="s">
        <v>31</v>
      </c>
      <c r="F970" s="1" t="s">
        <v>32</v>
      </c>
      <c r="G970" s="2">
        <v>45240</v>
      </c>
      <c r="H970">
        <v>2</v>
      </c>
      <c r="I970">
        <v>34088</v>
      </c>
      <c r="J970" s="1" t="s">
        <v>24</v>
      </c>
    </row>
    <row r="971" spans="1:10" x14ac:dyDescent="0.25">
      <c r="A971">
        <v>970</v>
      </c>
      <c r="B971" s="1" t="s">
        <v>13</v>
      </c>
      <c r="C971">
        <v>76</v>
      </c>
      <c r="D971" s="1" t="s">
        <v>37</v>
      </c>
      <c r="E971" s="1" t="s">
        <v>22</v>
      </c>
      <c r="F971" s="1" t="s">
        <v>16</v>
      </c>
      <c r="G971" s="2">
        <v>44969</v>
      </c>
      <c r="H971">
        <v>3</v>
      </c>
      <c r="I971">
        <v>30112</v>
      </c>
      <c r="J971" s="1" t="s">
        <v>24</v>
      </c>
    </row>
    <row r="972" spans="1:10" x14ac:dyDescent="0.25">
      <c r="A972">
        <v>971</v>
      </c>
      <c r="B972" s="1" t="s">
        <v>20</v>
      </c>
      <c r="C972">
        <v>36</v>
      </c>
      <c r="D972" s="1" t="s">
        <v>37</v>
      </c>
      <c r="E972" s="1" t="s">
        <v>22</v>
      </c>
      <c r="F972" s="1" t="s">
        <v>32</v>
      </c>
      <c r="G972" s="2">
        <v>45091</v>
      </c>
      <c r="H972">
        <v>10</v>
      </c>
      <c r="I972">
        <v>28299</v>
      </c>
      <c r="J972" s="1" t="s">
        <v>17</v>
      </c>
    </row>
    <row r="973" spans="1:10" x14ac:dyDescent="0.25">
      <c r="A973">
        <v>972</v>
      </c>
      <c r="B973" s="1" t="s">
        <v>13</v>
      </c>
      <c r="C973">
        <v>52</v>
      </c>
      <c r="D973" s="1" t="s">
        <v>14</v>
      </c>
      <c r="E973" s="1" t="s">
        <v>31</v>
      </c>
      <c r="F973" s="1" t="s">
        <v>28</v>
      </c>
      <c r="G973" s="2">
        <v>45078</v>
      </c>
      <c r="H973">
        <v>8</v>
      </c>
      <c r="I973">
        <v>36457</v>
      </c>
      <c r="J973" s="1" t="s">
        <v>24</v>
      </c>
    </row>
    <row r="974" spans="1:10" x14ac:dyDescent="0.25">
      <c r="A974">
        <v>973</v>
      </c>
      <c r="B974" s="1" t="s">
        <v>13</v>
      </c>
      <c r="C974">
        <v>76</v>
      </c>
      <c r="D974" s="1" t="s">
        <v>37</v>
      </c>
      <c r="E974" s="1" t="s">
        <v>27</v>
      </c>
      <c r="F974" s="1" t="s">
        <v>28</v>
      </c>
      <c r="G974" s="2">
        <v>45217</v>
      </c>
      <c r="H974">
        <v>14</v>
      </c>
      <c r="I974">
        <v>32063</v>
      </c>
      <c r="J974" s="1" t="s">
        <v>24</v>
      </c>
    </row>
    <row r="975" spans="1:10" x14ac:dyDescent="0.25">
      <c r="A975">
        <v>974</v>
      </c>
      <c r="B975" s="1" t="s">
        <v>13</v>
      </c>
      <c r="C975">
        <v>7</v>
      </c>
      <c r="D975" s="1" t="s">
        <v>14</v>
      </c>
      <c r="E975" s="1" t="s">
        <v>35</v>
      </c>
      <c r="F975" s="1" t="s">
        <v>23</v>
      </c>
      <c r="G975" s="2">
        <v>45131</v>
      </c>
      <c r="H975">
        <v>6</v>
      </c>
      <c r="I975">
        <v>5917</v>
      </c>
      <c r="J975" s="1" t="s">
        <v>24</v>
      </c>
    </row>
    <row r="976" spans="1:10" x14ac:dyDescent="0.25">
      <c r="A976">
        <v>975</v>
      </c>
      <c r="B976" s="1" t="s">
        <v>20</v>
      </c>
      <c r="C976">
        <v>29</v>
      </c>
      <c r="D976" s="1" t="s">
        <v>14</v>
      </c>
      <c r="E976" s="1" t="s">
        <v>15</v>
      </c>
      <c r="F976" s="1" t="s">
        <v>32</v>
      </c>
      <c r="G976" s="2">
        <v>44950</v>
      </c>
      <c r="H976">
        <v>10</v>
      </c>
      <c r="I976">
        <v>4936</v>
      </c>
      <c r="J976" s="1" t="s">
        <v>24</v>
      </c>
    </row>
    <row r="977" spans="1:10" x14ac:dyDescent="0.25">
      <c r="A977">
        <v>976</v>
      </c>
      <c r="B977" s="1" t="s">
        <v>20</v>
      </c>
      <c r="C977">
        <v>11</v>
      </c>
      <c r="D977" s="1" t="s">
        <v>14</v>
      </c>
      <c r="E977" s="1" t="s">
        <v>27</v>
      </c>
      <c r="F977" s="1" t="s">
        <v>32</v>
      </c>
      <c r="G977" s="2">
        <v>44933</v>
      </c>
      <c r="H977">
        <v>9</v>
      </c>
      <c r="I977">
        <v>38630</v>
      </c>
      <c r="J977" s="1" t="s">
        <v>24</v>
      </c>
    </row>
    <row r="978" spans="1:10" x14ac:dyDescent="0.25">
      <c r="A978">
        <v>977</v>
      </c>
      <c r="B978" s="1" t="s">
        <v>20</v>
      </c>
      <c r="C978">
        <v>33</v>
      </c>
      <c r="D978" s="1" t="s">
        <v>34</v>
      </c>
      <c r="E978" s="1" t="s">
        <v>31</v>
      </c>
      <c r="F978" s="1" t="s">
        <v>23</v>
      </c>
      <c r="G978" s="2">
        <v>45056</v>
      </c>
      <c r="H978">
        <v>10</v>
      </c>
      <c r="I978">
        <v>16506</v>
      </c>
      <c r="J978" s="1" t="s">
        <v>39</v>
      </c>
    </row>
    <row r="979" spans="1:10" x14ac:dyDescent="0.25">
      <c r="A979">
        <v>978</v>
      </c>
      <c r="B979" s="1" t="s">
        <v>20</v>
      </c>
      <c r="C979">
        <v>6</v>
      </c>
      <c r="D979" s="1" t="s">
        <v>21</v>
      </c>
      <c r="E979" s="1" t="s">
        <v>15</v>
      </c>
      <c r="F979" s="1" t="s">
        <v>23</v>
      </c>
      <c r="G979" s="2">
        <v>44977</v>
      </c>
      <c r="H979">
        <v>4</v>
      </c>
      <c r="I979">
        <v>30805</v>
      </c>
      <c r="J979" s="1" t="s">
        <v>24</v>
      </c>
    </row>
    <row r="980" spans="1:10" x14ac:dyDescent="0.25">
      <c r="A980">
        <v>979</v>
      </c>
      <c r="B980" s="1" t="s">
        <v>20</v>
      </c>
      <c r="C980">
        <v>79</v>
      </c>
      <c r="D980" s="1" t="s">
        <v>14</v>
      </c>
      <c r="E980" s="1" t="s">
        <v>22</v>
      </c>
      <c r="F980" s="1" t="s">
        <v>32</v>
      </c>
      <c r="G980" s="2">
        <v>45148</v>
      </c>
      <c r="H980">
        <v>8</v>
      </c>
      <c r="I980">
        <v>16318</v>
      </c>
      <c r="J980" s="1" t="s">
        <v>24</v>
      </c>
    </row>
    <row r="981" spans="1:10" x14ac:dyDescent="0.25">
      <c r="A981">
        <v>980</v>
      </c>
      <c r="B981" s="1" t="s">
        <v>20</v>
      </c>
      <c r="C981">
        <v>32</v>
      </c>
      <c r="D981" s="1" t="s">
        <v>14</v>
      </c>
      <c r="E981" s="1" t="s">
        <v>35</v>
      </c>
      <c r="F981" s="1" t="s">
        <v>23</v>
      </c>
      <c r="G981" s="2">
        <v>45018</v>
      </c>
      <c r="H981">
        <v>10</v>
      </c>
      <c r="I981">
        <v>28026</v>
      </c>
      <c r="J981" s="1" t="s">
        <v>24</v>
      </c>
    </row>
    <row r="982" spans="1:10" x14ac:dyDescent="0.25">
      <c r="A982">
        <v>981</v>
      </c>
      <c r="B982" s="1" t="s">
        <v>20</v>
      </c>
      <c r="C982">
        <v>51</v>
      </c>
      <c r="D982" s="1" t="s">
        <v>21</v>
      </c>
      <c r="E982" s="1" t="s">
        <v>22</v>
      </c>
      <c r="F982" s="1" t="s">
        <v>28</v>
      </c>
      <c r="G982" s="2">
        <v>45196</v>
      </c>
      <c r="H982">
        <v>3</v>
      </c>
      <c r="I982">
        <v>29672</v>
      </c>
      <c r="J982" s="1" t="s">
        <v>24</v>
      </c>
    </row>
    <row r="983" spans="1:10" x14ac:dyDescent="0.25">
      <c r="A983">
        <v>982</v>
      </c>
      <c r="B983" s="1" t="s">
        <v>20</v>
      </c>
      <c r="C983">
        <v>75</v>
      </c>
      <c r="D983" s="1" t="s">
        <v>30</v>
      </c>
      <c r="E983" s="1" t="s">
        <v>31</v>
      </c>
      <c r="F983" s="1" t="s">
        <v>16</v>
      </c>
      <c r="G983" s="2">
        <v>45218</v>
      </c>
      <c r="H983">
        <v>3</v>
      </c>
      <c r="I983">
        <v>40417</v>
      </c>
      <c r="J983" s="1" t="s">
        <v>24</v>
      </c>
    </row>
    <row r="984" spans="1:10" x14ac:dyDescent="0.25">
      <c r="A984">
        <v>983</v>
      </c>
      <c r="B984" s="1" t="s">
        <v>20</v>
      </c>
      <c r="C984">
        <v>58</v>
      </c>
      <c r="D984" s="1" t="s">
        <v>14</v>
      </c>
      <c r="E984" s="1" t="s">
        <v>15</v>
      </c>
      <c r="F984" s="1" t="s">
        <v>28</v>
      </c>
      <c r="G984" s="2">
        <v>44969</v>
      </c>
      <c r="H984">
        <v>8</v>
      </c>
      <c r="I984">
        <v>29281</v>
      </c>
      <c r="J984" s="1" t="s">
        <v>39</v>
      </c>
    </row>
    <row r="985" spans="1:10" x14ac:dyDescent="0.25">
      <c r="A985">
        <v>984</v>
      </c>
      <c r="B985" s="1" t="s">
        <v>13</v>
      </c>
      <c r="C985">
        <v>87</v>
      </c>
      <c r="D985" s="1" t="s">
        <v>34</v>
      </c>
      <c r="E985" s="1" t="s">
        <v>31</v>
      </c>
      <c r="F985" s="1" t="s">
        <v>23</v>
      </c>
      <c r="G985" s="2">
        <v>45119</v>
      </c>
      <c r="H985">
        <v>5</v>
      </c>
      <c r="I985">
        <v>30091</v>
      </c>
      <c r="J985" s="1" t="s">
        <v>24</v>
      </c>
    </row>
    <row r="986" spans="1:10" x14ac:dyDescent="0.25">
      <c r="A986">
        <v>985</v>
      </c>
      <c r="B986" s="1" t="s">
        <v>20</v>
      </c>
      <c r="C986">
        <v>26</v>
      </c>
      <c r="D986" s="1" t="s">
        <v>37</v>
      </c>
      <c r="E986" s="1" t="s">
        <v>15</v>
      </c>
      <c r="F986" s="1" t="s">
        <v>32</v>
      </c>
      <c r="G986" s="2">
        <v>44951</v>
      </c>
      <c r="H986">
        <v>3</v>
      </c>
      <c r="I986">
        <v>40328</v>
      </c>
      <c r="J986" s="1" t="s">
        <v>39</v>
      </c>
    </row>
    <row r="987" spans="1:10" x14ac:dyDescent="0.25">
      <c r="A987">
        <v>986</v>
      </c>
      <c r="B987" s="1" t="s">
        <v>20</v>
      </c>
      <c r="C987">
        <v>46</v>
      </c>
      <c r="D987" s="1" t="s">
        <v>37</v>
      </c>
      <c r="E987" s="1" t="s">
        <v>27</v>
      </c>
      <c r="F987" s="1" t="s">
        <v>32</v>
      </c>
      <c r="G987" s="2">
        <v>45194</v>
      </c>
      <c r="H987">
        <v>10</v>
      </c>
      <c r="I987">
        <v>20610</v>
      </c>
      <c r="J987" s="1" t="s">
        <v>24</v>
      </c>
    </row>
    <row r="988" spans="1:10" x14ac:dyDescent="0.25">
      <c r="A988">
        <v>987</v>
      </c>
      <c r="B988" s="1" t="s">
        <v>20</v>
      </c>
      <c r="C988">
        <v>29</v>
      </c>
      <c r="D988" s="1" t="s">
        <v>45</v>
      </c>
      <c r="E988" s="1" t="s">
        <v>35</v>
      </c>
      <c r="F988" s="1" t="s">
        <v>28</v>
      </c>
      <c r="G988" s="2">
        <v>44954</v>
      </c>
      <c r="H988">
        <v>11</v>
      </c>
      <c r="I988">
        <v>3079</v>
      </c>
      <c r="J988" s="1" t="s">
        <v>24</v>
      </c>
    </row>
    <row r="989" spans="1:10" x14ac:dyDescent="0.25">
      <c r="A989">
        <v>988</v>
      </c>
      <c r="B989" s="1" t="s">
        <v>20</v>
      </c>
      <c r="C989">
        <v>4</v>
      </c>
      <c r="D989" s="1" t="s">
        <v>45</v>
      </c>
      <c r="E989" s="1" t="s">
        <v>27</v>
      </c>
      <c r="F989" s="1" t="s">
        <v>32</v>
      </c>
      <c r="G989" s="2">
        <v>45180</v>
      </c>
      <c r="H989">
        <v>1</v>
      </c>
      <c r="I989">
        <v>31850</v>
      </c>
      <c r="J989" s="1" t="s">
        <v>24</v>
      </c>
    </row>
    <row r="990" spans="1:10" x14ac:dyDescent="0.25">
      <c r="A990">
        <v>989</v>
      </c>
      <c r="B990" s="1" t="s">
        <v>20</v>
      </c>
      <c r="C990">
        <v>81</v>
      </c>
      <c r="D990" s="1" t="s">
        <v>37</v>
      </c>
      <c r="E990" s="1" t="s">
        <v>27</v>
      </c>
      <c r="F990" s="1" t="s">
        <v>23</v>
      </c>
      <c r="G990" s="2">
        <v>45018</v>
      </c>
      <c r="H990">
        <v>3</v>
      </c>
      <c r="I990">
        <v>48751</v>
      </c>
      <c r="J990" s="1" t="s">
        <v>24</v>
      </c>
    </row>
    <row r="991" spans="1:10" x14ac:dyDescent="0.25">
      <c r="A991">
        <v>990</v>
      </c>
      <c r="B991" s="1" t="s">
        <v>20</v>
      </c>
      <c r="C991">
        <v>13</v>
      </c>
      <c r="D991" s="1" t="s">
        <v>37</v>
      </c>
      <c r="E991" s="1" t="s">
        <v>31</v>
      </c>
      <c r="F991" s="1" t="s">
        <v>28</v>
      </c>
      <c r="G991" s="2">
        <v>45027</v>
      </c>
      <c r="H991">
        <v>12</v>
      </c>
      <c r="I991">
        <v>22590</v>
      </c>
      <c r="J991" s="1" t="s">
        <v>24</v>
      </c>
    </row>
    <row r="992" spans="1:10" x14ac:dyDescent="0.25">
      <c r="A992">
        <v>991</v>
      </c>
      <c r="B992" s="1" t="s">
        <v>20</v>
      </c>
      <c r="C992">
        <v>39</v>
      </c>
      <c r="D992" s="1" t="s">
        <v>34</v>
      </c>
      <c r="E992" s="1" t="s">
        <v>35</v>
      </c>
      <c r="F992" s="1" t="s">
        <v>32</v>
      </c>
      <c r="G992" s="2">
        <v>45081</v>
      </c>
      <c r="H992">
        <v>9</v>
      </c>
      <c r="I992">
        <v>32951</v>
      </c>
      <c r="J992" s="1" t="s">
        <v>24</v>
      </c>
    </row>
    <row r="993" spans="1:10" x14ac:dyDescent="0.25">
      <c r="A993">
        <v>992</v>
      </c>
      <c r="B993" s="1" t="s">
        <v>20</v>
      </c>
      <c r="C993">
        <v>15</v>
      </c>
      <c r="D993" s="1" t="s">
        <v>21</v>
      </c>
      <c r="E993" s="1" t="s">
        <v>15</v>
      </c>
      <c r="F993" s="1" t="s">
        <v>16</v>
      </c>
      <c r="G993" s="2">
        <v>44930</v>
      </c>
      <c r="H993">
        <v>5</v>
      </c>
      <c r="I993">
        <v>17327</v>
      </c>
      <c r="J993" s="1" t="s">
        <v>39</v>
      </c>
    </row>
    <row r="994" spans="1:10" x14ac:dyDescent="0.25">
      <c r="A994">
        <v>993</v>
      </c>
      <c r="B994" s="1" t="s">
        <v>20</v>
      </c>
      <c r="C994">
        <v>29</v>
      </c>
      <c r="D994" s="1" t="s">
        <v>45</v>
      </c>
      <c r="E994" s="1" t="s">
        <v>15</v>
      </c>
      <c r="F994" s="1" t="s">
        <v>16</v>
      </c>
      <c r="G994" s="2">
        <v>45175</v>
      </c>
      <c r="H994">
        <v>12</v>
      </c>
      <c r="I994">
        <v>14755</v>
      </c>
      <c r="J994" s="1" t="s">
        <v>24</v>
      </c>
    </row>
    <row r="995" spans="1:10" x14ac:dyDescent="0.25">
      <c r="A995">
        <v>994</v>
      </c>
      <c r="B995" s="1" t="s">
        <v>20</v>
      </c>
      <c r="C995">
        <v>29</v>
      </c>
      <c r="D995" s="1" t="s">
        <v>21</v>
      </c>
      <c r="E995" s="1" t="s">
        <v>22</v>
      </c>
      <c r="F995" s="1" t="s">
        <v>23</v>
      </c>
      <c r="G995" s="2">
        <v>45142</v>
      </c>
      <c r="H995">
        <v>10</v>
      </c>
      <c r="I995">
        <v>9235</v>
      </c>
      <c r="J995" s="1" t="s">
        <v>39</v>
      </c>
    </row>
    <row r="996" spans="1:10" x14ac:dyDescent="0.25">
      <c r="A996">
        <v>995</v>
      </c>
      <c r="B996" s="1" t="s">
        <v>20</v>
      </c>
      <c r="C996">
        <v>75</v>
      </c>
      <c r="D996" s="1" t="s">
        <v>34</v>
      </c>
      <c r="E996" s="1" t="s">
        <v>15</v>
      </c>
      <c r="F996" s="1" t="s">
        <v>32</v>
      </c>
      <c r="G996" s="2">
        <v>45068</v>
      </c>
      <c r="H996">
        <v>2</v>
      </c>
      <c r="I996">
        <v>19197</v>
      </c>
      <c r="J996" s="1" t="s">
        <v>24</v>
      </c>
    </row>
    <row r="997" spans="1:10" x14ac:dyDescent="0.25">
      <c r="A997">
        <v>996</v>
      </c>
      <c r="B997" s="1" t="s">
        <v>13</v>
      </c>
      <c r="C997">
        <v>32</v>
      </c>
      <c r="D997" s="1" t="s">
        <v>37</v>
      </c>
      <c r="E997" s="1" t="s">
        <v>31</v>
      </c>
      <c r="F997" s="1" t="s">
        <v>23</v>
      </c>
      <c r="G997" s="2">
        <v>45064</v>
      </c>
      <c r="H997">
        <v>7</v>
      </c>
      <c r="I997">
        <v>23473</v>
      </c>
      <c r="J997" s="1" t="s">
        <v>17</v>
      </c>
    </row>
    <row r="998" spans="1:10" x14ac:dyDescent="0.25">
      <c r="A998">
        <v>997</v>
      </c>
      <c r="B998" s="1" t="s">
        <v>13</v>
      </c>
      <c r="C998">
        <v>2</v>
      </c>
      <c r="D998" s="1" t="s">
        <v>14</v>
      </c>
      <c r="E998" s="1" t="s">
        <v>27</v>
      </c>
      <c r="F998" s="1" t="s">
        <v>28</v>
      </c>
      <c r="G998" s="2">
        <v>44934</v>
      </c>
      <c r="H998">
        <v>2</v>
      </c>
      <c r="I998">
        <v>4031</v>
      </c>
      <c r="J998" s="1" t="s">
        <v>39</v>
      </c>
    </row>
    <row r="999" spans="1:10" x14ac:dyDescent="0.25">
      <c r="A999">
        <v>998</v>
      </c>
      <c r="B999" s="1" t="s">
        <v>20</v>
      </c>
      <c r="C999">
        <v>47</v>
      </c>
      <c r="D999" s="1" t="s">
        <v>21</v>
      </c>
      <c r="E999" s="1" t="s">
        <v>27</v>
      </c>
      <c r="F999" s="1" t="s">
        <v>16</v>
      </c>
      <c r="G999" s="2">
        <v>45241</v>
      </c>
      <c r="H999">
        <v>4</v>
      </c>
      <c r="I999">
        <v>43282</v>
      </c>
      <c r="J999" s="1" t="s">
        <v>24</v>
      </c>
    </row>
    <row r="1000" spans="1:10" x14ac:dyDescent="0.25">
      <c r="A1000">
        <v>999</v>
      </c>
      <c r="B1000" s="1" t="s">
        <v>20</v>
      </c>
      <c r="C1000">
        <v>78</v>
      </c>
      <c r="D1000" s="1" t="s">
        <v>37</v>
      </c>
      <c r="E1000" s="1" t="s">
        <v>27</v>
      </c>
      <c r="F1000" s="1" t="s">
        <v>28</v>
      </c>
      <c r="G1000" s="2">
        <v>45025</v>
      </c>
      <c r="H1000">
        <v>12</v>
      </c>
      <c r="I1000">
        <v>43863</v>
      </c>
      <c r="J1000" s="1" t="s">
        <v>39</v>
      </c>
    </row>
    <row r="1001" spans="1:10" x14ac:dyDescent="0.25">
      <c r="A1001">
        <v>1000</v>
      </c>
      <c r="B1001" s="1" t="s">
        <v>13</v>
      </c>
      <c r="C1001">
        <v>84</v>
      </c>
      <c r="D1001" s="1" t="s">
        <v>37</v>
      </c>
      <c r="E1001" s="1" t="s">
        <v>35</v>
      </c>
      <c r="F1001" s="1" t="s">
        <v>32</v>
      </c>
      <c r="G1001" s="2">
        <v>45215</v>
      </c>
      <c r="H1001">
        <v>7</v>
      </c>
      <c r="I1001">
        <v>16287</v>
      </c>
      <c r="J1001" s="1"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77FD5-88BC-4E74-B98B-E45A6CF3DDDB}">
  <dimension ref="A1:N1001"/>
  <sheetViews>
    <sheetView topLeftCell="A994" workbookViewId="0">
      <selection activeCell="A2" sqref="A2:A93"/>
    </sheetView>
  </sheetViews>
  <sheetFormatPr defaultRowHeight="15" x14ac:dyDescent="0.25"/>
  <cols>
    <col min="1" max="1" width="12.5703125" bestFit="1" customWidth="1"/>
    <col min="2" max="2" width="10" bestFit="1" customWidth="1"/>
    <col min="3" max="3" width="6.7109375" bestFit="1" customWidth="1"/>
    <col min="4" max="4" width="13.28515625" bestFit="1" customWidth="1"/>
    <col min="5" max="5" width="10.5703125" bestFit="1" customWidth="1"/>
    <col min="6" max="6" width="14.85546875" bestFit="1" customWidth="1"/>
    <col min="7" max="7" width="17.85546875" bestFit="1" customWidth="1"/>
    <col min="8" max="8" width="12.140625" bestFit="1" customWidth="1"/>
    <col min="9" max="9" width="17.5703125" bestFit="1" customWidth="1"/>
    <col min="10" max="10" width="16.28515625" bestFit="1" customWidth="1"/>
    <col min="11" max="11" width="7.28515625" bestFit="1" customWidth="1"/>
    <col min="12" max="12" width="15.7109375" bestFit="1" customWidth="1"/>
    <col min="13" max="13" width="13.28515625" bestFit="1" customWidth="1"/>
    <col min="14" max="14" width="17.71093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54</v>
      </c>
    </row>
    <row r="2" spans="1:14" x14ac:dyDescent="0.25">
      <c r="A2">
        <v>1</v>
      </c>
      <c r="B2" s="1" t="s">
        <v>13</v>
      </c>
      <c r="C2">
        <v>63</v>
      </c>
      <c r="D2" s="1" t="s">
        <v>14</v>
      </c>
      <c r="E2" s="1" t="s">
        <v>15</v>
      </c>
      <c r="F2" s="1" t="s">
        <v>16</v>
      </c>
      <c r="G2" s="2">
        <v>45257</v>
      </c>
      <c r="H2">
        <v>8</v>
      </c>
      <c r="I2">
        <v>22566</v>
      </c>
      <c r="J2" s="1" t="s">
        <v>17</v>
      </c>
      <c r="K2">
        <v>2023</v>
      </c>
      <c r="L2" t="s">
        <v>18</v>
      </c>
      <c r="M2" t="s">
        <v>19</v>
      </c>
      <c r="N2">
        <v>11</v>
      </c>
    </row>
    <row r="3" spans="1:14" x14ac:dyDescent="0.25">
      <c r="A3">
        <v>2</v>
      </c>
      <c r="B3" s="1" t="s">
        <v>20</v>
      </c>
      <c r="C3">
        <v>17</v>
      </c>
      <c r="D3" s="1" t="s">
        <v>21</v>
      </c>
      <c r="E3" s="1" t="s">
        <v>22</v>
      </c>
      <c r="F3" s="1" t="s">
        <v>23</v>
      </c>
      <c r="G3" s="2">
        <v>45239</v>
      </c>
      <c r="H3">
        <v>4</v>
      </c>
      <c r="I3">
        <v>4230</v>
      </c>
      <c r="J3" s="1" t="s">
        <v>24</v>
      </c>
      <c r="K3">
        <v>2023</v>
      </c>
      <c r="L3" t="s">
        <v>18</v>
      </c>
      <c r="M3" t="s">
        <v>25</v>
      </c>
      <c r="N3">
        <v>11</v>
      </c>
    </row>
    <row r="4" spans="1:14" x14ac:dyDescent="0.25">
      <c r="A4">
        <v>3</v>
      </c>
      <c r="B4" s="1" t="s">
        <v>13</v>
      </c>
      <c r="C4">
        <v>73</v>
      </c>
      <c r="D4" s="1" t="s">
        <v>21</v>
      </c>
      <c r="E4" s="1" t="s">
        <v>22</v>
      </c>
      <c r="F4" s="1" t="s">
        <v>23</v>
      </c>
      <c r="G4" s="2">
        <v>45272</v>
      </c>
      <c r="H4">
        <v>12</v>
      </c>
      <c r="I4">
        <v>8511</v>
      </c>
      <c r="J4" s="1" t="s">
        <v>24</v>
      </c>
      <c r="K4">
        <v>2023</v>
      </c>
      <c r="L4" t="s">
        <v>26</v>
      </c>
      <c r="M4" t="s">
        <v>19</v>
      </c>
      <c r="N4">
        <v>12</v>
      </c>
    </row>
    <row r="5" spans="1:14" x14ac:dyDescent="0.25">
      <c r="A5">
        <v>4</v>
      </c>
      <c r="B5" s="1" t="s">
        <v>13</v>
      </c>
      <c r="C5">
        <v>33</v>
      </c>
      <c r="D5" s="1" t="s">
        <v>21</v>
      </c>
      <c r="E5" s="1" t="s">
        <v>27</v>
      </c>
      <c r="F5" s="1" t="s">
        <v>28</v>
      </c>
      <c r="G5" s="2">
        <v>45243</v>
      </c>
      <c r="H5">
        <v>1</v>
      </c>
      <c r="I5">
        <v>44229</v>
      </c>
      <c r="J5" s="1" t="s">
        <v>24</v>
      </c>
      <c r="K5">
        <v>2023</v>
      </c>
      <c r="L5" t="s">
        <v>18</v>
      </c>
      <c r="M5" t="s">
        <v>29</v>
      </c>
      <c r="N5">
        <v>11</v>
      </c>
    </row>
    <row r="6" spans="1:14" x14ac:dyDescent="0.25">
      <c r="A6">
        <v>5</v>
      </c>
      <c r="B6" s="1" t="s">
        <v>13</v>
      </c>
      <c r="C6">
        <v>84</v>
      </c>
      <c r="D6" s="1" t="s">
        <v>30</v>
      </c>
      <c r="E6" s="1" t="s">
        <v>31</v>
      </c>
      <c r="F6" s="1" t="s">
        <v>23</v>
      </c>
      <c r="G6" s="2">
        <v>45287</v>
      </c>
      <c r="H6">
        <v>7</v>
      </c>
      <c r="I6">
        <v>28177</v>
      </c>
      <c r="J6" s="1" t="s">
        <v>24</v>
      </c>
      <c r="K6">
        <v>2023</v>
      </c>
      <c r="L6" t="s">
        <v>26</v>
      </c>
      <c r="M6" t="s">
        <v>19</v>
      </c>
      <c r="N6">
        <v>12</v>
      </c>
    </row>
    <row r="7" spans="1:14" x14ac:dyDescent="0.25">
      <c r="A7">
        <v>6</v>
      </c>
      <c r="B7" s="1" t="s">
        <v>20</v>
      </c>
      <c r="C7">
        <v>77</v>
      </c>
      <c r="D7" s="1" t="s">
        <v>14</v>
      </c>
      <c r="E7" s="1" t="s">
        <v>15</v>
      </c>
      <c r="F7" s="1" t="s">
        <v>32</v>
      </c>
      <c r="G7" s="2">
        <v>45023</v>
      </c>
      <c r="H7">
        <v>3</v>
      </c>
      <c r="I7">
        <v>6765</v>
      </c>
      <c r="J7" s="1" t="s">
        <v>24</v>
      </c>
      <c r="K7">
        <v>2023</v>
      </c>
      <c r="L7" t="s">
        <v>33</v>
      </c>
      <c r="M7" t="s">
        <v>19</v>
      </c>
      <c r="N7">
        <v>4</v>
      </c>
    </row>
    <row r="8" spans="1:14" x14ac:dyDescent="0.25">
      <c r="A8">
        <v>7</v>
      </c>
      <c r="B8" s="1" t="s">
        <v>13</v>
      </c>
      <c r="C8">
        <v>29</v>
      </c>
      <c r="D8" s="1" t="s">
        <v>34</v>
      </c>
      <c r="E8" s="1" t="s">
        <v>27</v>
      </c>
      <c r="F8" s="1" t="s">
        <v>28</v>
      </c>
      <c r="G8" s="2">
        <v>45275</v>
      </c>
      <c r="H8">
        <v>14</v>
      </c>
      <c r="I8">
        <v>22354</v>
      </c>
      <c r="J8" s="1" t="s">
        <v>24</v>
      </c>
      <c r="K8">
        <v>2023</v>
      </c>
      <c r="L8" t="s">
        <v>26</v>
      </c>
      <c r="M8" t="s">
        <v>29</v>
      </c>
      <c r="N8">
        <v>12</v>
      </c>
    </row>
    <row r="9" spans="1:14" x14ac:dyDescent="0.25">
      <c r="A9">
        <v>8</v>
      </c>
      <c r="B9" s="1" t="s">
        <v>13</v>
      </c>
      <c r="C9">
        <v>13</v>
      </c>
      <c r="D9" s="1" t="s">
        <v>34</v>
      </c>
      <c r="E9" s="1" t="s">
        <v>35</v>
      </c>
      <c r="F9" s="1" t="s">
        <v>23</v>
      </c>
      <c r="G9" s="2">
        <v>45114</v>
      </c>
      <c r="H9">
        <v>6</v>
      </c>
      <c r="I9">
        <v>25929</v>
      </c>
      <c r="J9" s="1" t="s">
        <v>24</v>
      </c>
      <c r="K9">
        <v>2023</v>
      </c>
      <c r="L9" t="s">
        <v>36</v>
      </c>
      <c r="M9" t="s">
        <v>25</v>
      </c>
      <c r="N9">
        <v>7</v>
      </c>
    </row>
    <row r="10" spans="1:14" x14ac:dyDescent="0.25">
      <c r="A10">
        <v>9</v>
      </c>
      <c r="B10" s="1" t="s">
        <v>13</v>
      </c>
      <c r="C10">
        <v>46</v>
      </c>
      <c r="D10" s="1" t="s">
        <v>37</v>
      </c>
      <c r="E10" s="1" t="s">
        <v>35</v>
      </c>
      <c r="F10" s="1" t="s">
        <v>32</v>
      </c>
      <c r="G10" s="2">
        <v>45273</v>
      </c>
      <c r="H10">
        <v>2</v>
      </c>
      <c r="I10">
        <v>30820</v>
      </c>
      <c r="J10" s="1" t="s">
        <v>24</v>
      </c>
      <c r="K10">
        <v>2023</v>
      </c>
      <c r="L10" t="s">
        <v>26</v>
      </c>
      <c r="M10" t="s">
        <v>38</v>
      </c>
      <c r="N10">
        <v>12</v>
      </c>
    </row>
    <row r="11" spans="1:14" x14ac:dyDescent="0.25">
      <c r="A11">
        <v>10</v>
      </c>
      <c r="B11" s="1" t="s">
        <v>20</v>
      </c>
      <c r="C11">
        <v>35</v>
      </c>
      <c r="D11" s="1" t="s">
        <v>37</v>
      </c>
      <c r="E11" s="1" t="s">
        <v>15</v>
      </c>
      <c r="F11" s="1" t="s">
        <v>23</v>
      </c>
      <c r="G11" s="2">
        <v>45287</v>
      </c>
      <c r="H11">
        <v>9</v>
      </c>
      <c r="I11">
        <v>48040</v>
      </c>
      <c r="J11" s="1" t="s">
        <v>24</v>
      </c>
      <c r="K11">
        <v>2023</v>
      </c>
      <c r="L11" t="s">
        <v>26</v>
      </c>
      <c r="M11" t="s">
        <v>29</v>
      </c>
      <c r="N11">
        <v>12</v>
      </c>
    </row>
    <row r="12" spans="1:14" x14ac:dyDescent="0.25">
      <c r="A12">
        <v>11</v>
      </c>
      <c r="B12" s="1" t="s">
        <v>13</v>
      </c>
      <c r="C12">
        <v>6</v>
      </c>
      <c r="D12" s="1" t="s">
        <v>37</v>
      </c>
      <c r="E12" s="1" t="s">
        <v>31</v>
      </c>
      <c r="F12" s="1" t="s">
        <v>23</v>
      </c>
      <c r="G12" s="2">
        <v>45286</v>
      </c>
      <c r="H12">
        <v>1</v>
      </c>
      <c r="I12">
        <v>31523</v>
      </c>
      <c r="J12" s="1" t="s">
        <v>39</v>
      </c>
      <c r="K12">
        <v>2023</v>
      </c>
      <c r="L12" t="s">
        <v>26</v>
      </c>
      <c r="M12" t="s">
        <v>25</v>
      </c>
      <c r="N12">
        <v>12</v>
      </c>
    </row>
    <row r="13" spans="1:14" x14ac:dyDescent="0.25">
      <c r="A13">
        <v>12</v>
      </c>
      <c r="B13" s="1" t="s">
        <v>13</v>
      </c>
      <c r="C13">
        <v>82</v>
      </c>
      <c r="D13" s="1" t="s">
        <v>21</v>
      </c>
      <c r="E13" s="1" t="s">
        <v>27</v>
      </c>
      <c r="F13" s="1" t="s">
        <v>16</v>
      </c>
      <c r="G13" s="2">
        <v>45093</v>
      </c>
      <c r="H13">
        <v>6</v>
      </c>
      <c r="I13">
        <v>7552</v>
      </c>
      <c r="J13" s="1" t="s">
        <v>24</v>
      </c>
      <c r="K13">
        <v>2023</v>
      </c>
      <c r="L13" t="s">
        <v>40</v>
      </c>
      <c r="M13" t="s">
        <v>19</v>
      </c>
      <c r="N13">
        <v>6</v>
      </c>
    </row>
    <row r="14" spans="1:14" x14ac:dyDescent="0.25">
      <c r="A14">
        <v>13</v>
      </c>
      <c r="B14" s="1" t="s">
        <v>13</v>
      </c>
      <c r="C14">
        <v>69</v>
      </c>
      <c r="D14" s="1" t="s">
        <v>34</v>
      </c>
      <c r="E14" s="1" t="s">
        <v>22</v>
      </c>
      <c r="F14" s="1" t="s">
        <v>23</v>
      </c>
      <c r="G14" s="2">
        <v>45202</v>
      </c>
      <c r="H14">
        <v>6</v>
      </c>
      <c r="I14">
        <v>2627</v>
      </c>
      <c r="J14" s="1" t="s">
        <v>24</v>
      </c>
      <c r="K14">
        <v>2023</v>
      </c>
      <c r="L14" t="s">
        <v>41</v>
      </c>
      <c r="M14" t="s">
        <v>19</v>
      </c>
      <c r="N14">
        <v>10</v>
      </c>
    </row>
    <row r="15" spans="1:14" x14ac:dyDescent="0.25">
      <c r="A15">
        <v>14</v>
      </c>
      <c r="B15" s="1" t="s">
        <v>13</v>
      </c>
      <c r="C15">
        <v>47</v>
      </c>
      <c r="D15" s="1" t="s">
        <v>14</v>
      </c>
      <c r="E15" s="1" t="s">
        <v>15</v>
      </c>
      <c r="F15" s="1" t="s">
        <v>23</v>
      </c>
      <c r="G15" s="2">
        <v>45290</v>
      </c>
      <c r="H15">
        <v>5</v>
      </c>
      <c r="I15">
        <v>13989</v>
      </c>
      <c r="J15" s="1" t="s">
        <v>24</v>
      </c>
      <c r="K15">
        <v>2023</v>
      </c>
      <c r="L15" t="s">
        <v>26</v>
      </c>
      <c r="M15" t="s">
        <v>38</v>
      </c>
      <c r="N15">
        <v>12</v>
      </c>
    </row>
    <row r="16" spans="1:14" x14ac:dyDescent="0.25">
      <c r="A16">
        <v>15</v>
      </c>
      <c r="B16" s="1" t="s">
        <v>20</v>
      </c>
      <c r="C16">
        <v>25</v>
      </c>
      <c r="D16" s="1" t="s">
        <v>21</v>
      </c>
      <c r="E16" s="1" t="s">
        <v>31</v>
      </c>
      <c r="F16" s="1" t="s">
        <v>32</v>
      </c>
      <c r="G16" s="2">
        <v>45050</v>
      </c>
      <c r="H16">
        <v>13</v>
      </c>
      <c r="I16">
        <v>15780</v>
      </c>
      <c r="J16" s="1" t="s">
        <v>39</v>
      </c>
      <c r="K16">
        <v>2023</v>
      </c>
      <c r="L16" t="s">
        <v>42</v>
      </c>
      <c r="M16" t="s">
        <v>29</v>
      </c>
      <c r="N16">
        <v>5</v>
      </c>
    </row>
    <row r="17" spans="1:14" x14ac:dyDescent="0.25">
      <c r="A17">
        <v>16</v>
      </c>
      <c r="B17" s="1" t="s">
        <v>13</v>
      </c>
      <c r="C17">
        <v>66</v>
      </c>
      <c r="D17" s="1" t="s">
        <v>30</v>
      </c>
      <c r="E17" s="1" t="s">
        <v>22</v>
      </c>
      <c r="F17" s="1" t="s">
        <v>32</v>
      </c>
      <c r="G17" s="2">
        <v>45009</v>
      </c>
      <c r="H17">
        <v>5</v>
      </c>
      <c r="I17">
        <v>8589</v>
      </c>
      <c r="J17" s="1" t="s">
        <v>24</v>
      </c>
      <c r="K17">
        <v>2023</v>
      </c>
      <c r="L17" t="s">
        <v>43</v>
      </c>
      <c r="M17" t="s">
        <v>19</v>
      </c>
      <c r="N17">
        <v>3</v>
      </c>
    </row>
    <row r="18" spans="1:14" x14ac:dyDescent="0.25">
      <c r="A18">
        <v>17</v>
      </c>
      <c r="B18" s="1" t="s">
        <v>20</v>
      </c>
      <c r="C18">
        <v>10</v>
      </c>
      <c r="D18" s="1" t="s">
        <v>37</v>
      </c>
      <c r="E18" s="1" t="s">
        <v>35</v>
      </c>
      <c r="F18" s="1" t="s">
        <v>16</v>
      </c>
      <c r="G18" s="2">
        <v>45183</v>
      </c>
      <c r="H18">
        <v>1</v>
      </c>
      <c r="I18">
        <v>36812</v>
      </c>
      <c r="J18" s="1" t="s">
        <v>24</v>
      </c>
      <c r="K18">
        <v>2023</v>
      </c>
      <c r="L18" t="s">
        <v>44</v>
      </c>
      <c r="M18" t="s">
        <v>25</v>
      </c>
      <c r="N18">
        <v>9</v>
      </c>
    </row>
    <row r="19" spans="1:14" x14ac:dyDescent="0.25">
      <c r="A19">
        <v>18</v>
      </c>
      <c r="B19" s="1" t="s">
        <v>20</v>
      </c>
      <c r="C19">
        <v>56</v>
      </c>
      <c r="D19" s="1" t="s">
        <v>21</v>
      </c>
      <c r="E19" s="1" t="s">
        <v>35</v>
      </c>
      <c r="F19" s="1" t="s">
        <v>23</v>
      </c>
      <c r="G19" s="2">
        <v>45135</v>
      </c>
      <c r="H19">
        <v>10</v>
      </c>
      <c r="I19">
        <v>30128</v>
      </c>
      <c r="J19" s="1" t="s">
        <v>17</v>
      </c>
      <c r="K19">
        <v>2023</v>
      </c>
      <c r="L19" t="s">
        <v>36</v>
      </c>
      <c r="M19" t="s">
        <v>38</v>
      </c>
      <c r="N19">
        <v>7</v>
      </c>
    </row>
    <row r="20" spans="1:14" x14ac:dyDescent="0.25">
      <c r="A20">
        <v>19</v>
      </c>
      <c r="B20" s="1" t="s">
        <v>20</v>
      </c>
      <c r="C20">
        <v>30</v>
      </c>
      <c r="D20" s="1" t="s">
        <v>21</v>
      </c>
      <c r="E20" s="1" t="s">
        <v>22</v>
      </c>
      <c r="F20" s="1" t="s">
        <v>16</v>
      </c>
      <c r="G20" s="2">
        <v>45179</v>
      </c>
      <c r="H20">
        <v>12</v>
      </c>
      <c r="I20">
        <v>47939</v>
      </c>
      <c r="J20" s="1" t="s">
        <v>39</v>
      </c>
      <c r="K20">
        <v>2023</v>
      </c>
      <c r="L20" t="s">
        <v>44</v>
      </c>
      <c r="M20" t="s">
        <v>29</v>
      </c>
      <c r="N20">
        <v>9</v>
      </c>
    </row>
    <row r="21" spans="1:14" x14ac:dyDescent="0.25">
      <c r="A21">
        <v>20</v>
      </c>
      <c r="B21" s="1" t="s">
        <v>13</v>
      </c>
      <c r="C21">
        <v>5</v>
      </c>
      <c r="D21" s="1" t="s">
        <v>30</v>
      </c>
      <c r="E21" s="1" t="s">
        <v>15</v>
      </c>
      <c r="F21" s="1" t="s">
        <v>23</v>
      </c>
      <c r="G21" s="2">
        <v>45211</v>
      </c>
      <c r="H21">
        <v>5</v>
      </c>
      <c r="I21">
        <v>40652</v>
      </c>
      <c r="J21" s="1" t="s">
        <v>24</v>
      </c>
      <c r="K21">
        <v>2023</v>
      </c>
      <c r="L21" t="s">
        <v>41</v>
      </c>
      <c r="M21" t="s">
        <v>25</v>
      </c>
      <c r="N21">
        <v>10</v>
      </c>
    </row>
    <row r="22" spans="1:14" x14ac:dyDescent="0.25">
      <c r="A22">
        <v>21</v>
      </c>
      <c r="B22" s="1" t="s">
        <v>20</v>
      </c>
      <c r="C22">
        <v>33</v>
      </c>
      <c r="D22" s="1" t="s">
        <v>45</v>
      </c>
      <c r="E22" s="1" t="s">
        <v>35</v>
      </c>
      <c r="F22" s="1" t="s">
        <v>28</v>
      </c>
      <c r="G22" s="2">
        <v>45281</v>
      </c>
      <c r="H22">
        <v>2</v>
      </c>
      <c r="I22">
        <v>29790</v>
      </c>
      <c r="J22" s="1" t="s">
        <v>24</v>
      </c>
      <c r="K22">
        <v>2023</v>
      </c>
      <c r="L22" t="s">
        <v>26</v>
      </c>
      <c r="M22" t="s">
        <v>29</v>
      </c>
      <c r="N22">
        <v>12</v>
      </c>
    </row>
    <row r="23" spans="1:14" x14ac:dyDescent="0.25">
      <c r="A23">
        <v>22</v>
      </c>
      <c r="B23" s="1" t="s">
        <v>13</v>
      </c>
      <c r="C23">
        <v>65</v>
      </c>
      <c r="D23" s="1" t="s">
        <v>34</v>
      </c>
      <c r="E23" s="1" t="s">
        <v>27</v>
      </c>
      <c r="F23" s="1" t="s">
        <v>28</v>
      </c>
      <c r="G23" s="2">
        <v>44996</v>
      </c>
      <c r="H23">
        <v>7</v>
      </c>
      <c r="I23">
        <v>42953</v>
      </c>
      <c r="J23" s="1" t="s">
        <v>39</v>
      </c>
      <c r="K23">
        <v>2023</v>
      </c>
      <c r="L23" t="s">
        <v>43</v>
      </c>
      <c r="M23" t="s">
        <v>19</v>
      </c>
      <c r="N23">
        <v>3</v>
      </c>
    </row>
    <row r="24" spans="1:14" x14ac:dyDescent="0.25">
      <c r="A24">
        <v>23</v>
      </c>
      <c r="B24" s="1" t="s">
        <v>20</v>
      </c>
      <c r="C24">
        <v>18</v>
      </c>
      <c r="D24" s="1" t="s">
        <v>14</v>
      </c>
      <c r="E24" s="1" t="s">
        <v>22</v>
      </c>
      <c r="F24" s="1" t="s">
        <v>16</v>
      </c>
      <c r="G24" s="2">
        <v>45091</v>
      </c>
      <c r="H24">
        <v>3</v>
      </c>
      <c r="I24">
        <v>2249</v>
      </c>
      <c r="J24" s="1" t="s">
        <v>24</v>
      </c>
      <c r="K24">
        <v>2023</v>
      </c>
      <c r="L24" t="s">
        <v>40</v>
      </c>
      <c r="M24" t="s">
        <v>29</v>
      </c>
      <c r="N24">
        <v>6</v>
      </c>
    </row>
    <row r="25" spans="1:14" x14ac:dyDescent="0.25">
      <c r="A25">
        <v>24</v>
      </c>
      <c r="B25" s="1" t="s">
        <v>20</v>
      </c>
      <c r="C25">
        <v>49</v>
      </c>
      <c r="D25" s="1" t="s">
        <v>45</v>
      </c>
      <c r="E25" s="1" t="s">
        <v>22</v>
      </c>
      <c r="F25" s="1" t="s">
        <v>16</v>
      </c>
      <c r="G25" s="2">
        <v>45045</v>
      </c>
      <c r="H25">
        <v>13</v>
      </c>
      <c r="I25">
        <v>21309</v>
      </c>
      <c r="J25" s="1" t="s">
        <v>24</v>
      </c>
      <c r="K25">
        <v>2023</v>
      </c>
      <c r="L25" t="s">
        <v>33</v>
      </c>
      <c r="M25" t="s">
        <v>38</v>
      </c>
      <c r="N25">
        <v>4</v>
      </c>
    </row>
    <row r="26" spans="1:14" x14ac:dyDescent="0.25">
      <c r="A26">
        <v>25</v>
      </c>
      <c r="B26" s="1" t="s">
        <v>20</v>
      </c>
      <c r="C26">
        <v>11</v>
      </c>
      <c r="D26" s="1" t="s">
        <v>37</v>
      </c>
      <c r="E26" s="1" t="s">
        <v>35</v>
      </c>
      <c r="F26" s="1" t="s">
        <v>16</v>
      </c>
      <c r="G26" s="2">
        <v>45010</v>
      </c>
      <c r="H26">
        <v>4</v>
      </c>
      <c r="I26">
        <v>27901</v>
      </c>
      <c r="J26" s="1" t="s">
        <v>24</v>
      </c>
      <c r="K26">
        <v>2023</v>
      </c>
      <c r="L26" t="s">
        <v>43</v>
      </c>
      <c r="M26" t="s">
        <v>25</v>
      </c>
      <c r="N26">
        <v>3</v>
      </c>
    </row>
    <row r="27" spans="1:14" x14ac:dyDescent="0.25">
      <c r="A27">
        <v>26</v>
      </c>
      <c r="B27" s="1" t="s">
        <v>20</v>
      </c>
      <c r="C27">
        <v>85</v>
      </c>
      <c r="D27" s="1" t="s">
        <v>21</v>
      </c>
      <c r="E27" s="1" t="s">
        <v>15</v>
      </c>
      <c r="F27" s="1" t="s">
        <v>32</v>
      </c>
      <c r="G27" s="2">
        <v>45011</v>
      </c>
      <c r="H27">
        <v>3</v>
      </c>
      <c r="I27">
        <v>25576</v>
      </c>
      <c r="J27" s="1" t="s">
        <v>39</v>
      </c>
      <c r="K27">
        <v>2023</v>
      </c>
      <c r="L27" t="s">
        <v>43</v>
      </c>
      <c r="M27" t="s">
        <v>19</v>
      </c>
      <c r="N27">
        <v>3</v>
      </c>
    </row>
    <row r="28" spans="1:14" x14ac:dyDescent="0.25">
      <c r="A28">
        <v>27</v>
      </c>
      <c r="B28" s="1" t="s">
        <v>20</v>
      </c>
      <c r="C28">
        <v>26</v>
      </c>
      <c r="D28" s="1" t="s">
        <v>30</v>
      </c>
      <c r="E28" s="1" t="s">
        <v>27</v>
      </c>
      <c r="F28" s="1" t="s">
        <v>32</v>
      </c>
      <c r="G28" s="2">
        <v>45124</v>
      </c>
      <c r="H28">
        <v>3</v>
      </c>
      <c r="I28">
        <v>33508</v>
      </c>
      <c r="J28" s="1" t="s">
        <v>24</v>
      </c>
      <c r="K28">
        <v>2023</v>
      </c>
      <c r="L28" t="s">
        <v>36</v>
      </c>
      <c r="M28" t="s">
        <v>29</v>
      </c>
      <c r="N28">
        <v>7</v>
      </c>
    </row>
    <row r="29" spans="1:14" x14ac:dyDescent="0.25">
      <c r="A29">
        <v>28</v>
      </c>
      <c r="B29" s="1" t="s">
        <v>20</v>
      </c>
      <c r="C29">
        <v>63</v>
      </c>
      <c r="D29" s="1" t="s">
        <v>30</v>
      </c>
      <c r="E29" s="1" t="s">
        <v>15</v>
      </c>
      <c r="F29" s="1" t="s">
        <v>32</v>
      </c>
      <c r="G29" s="2">
        <v>45106</v>
      </c>
      <c r="H29">
        <v>4</v>
      </c>
      <c r="I29">
        <v>11175</v>
      </c>
      <c r="J29" s="1" t="s">
        <v>39</v>
      </c>
      <c r="K29">
        <v>2023</v>
      </c>
      <c r="L29" t="s">
        <v>40</v>
      </c>
      <c r="M29" t="s">
        <v>19</v>
      </c>
      <c r="N29">
        <v>6</v>
      </c>
    </row>
    <row r="30" spans="1:14" x14ac:dyDescent="0.25">
      <c r="A30">
        <v>29</v>
      </c>
      <c r="B30" s="1" t="s">
        <v>20</v>
      </c>
      <c r="C30">
        <v>89</v>
      </c>
      <c r="D30" s="1" t="s">
        <v>34</v>
      </c>
      <c r="E30" s="1" t="s">
        <v>31</v>
      </c>
      <c r="F30" s="1" t="s">
        <v>16</v>
      </c>
      <c r="G30" s="2">
        <v>44964</v>
      </c>
      <c r="H30">
        <v>5</v>
      </c>
      <c r="I30">
        <v>27464</v>
      </c>
      <c r="J30" s="1" t="s">
        <v>24</v>
      </c>
      <c r="K30">
        <v>2023</v>
      </c>
      <c r="L30" t="s">
        <v>46</v>
      </c>
      <c r="M30" t="s">
        <v>19</v>
      </c>
      <c r="N30">
        <v>2</v>
      </c>
    </row>
    <row r="31" spans="1:14" x14ac:dyDescent="0.25">
      <c r="A31">
        <v>30</v>
      </c>
      <c r="B31" s="1" t="s">
        <v>20</v>
      </c>
      <c r="C31">
        <v>86</v>
      </c>
      <c r="D31" s="1" t="s">
        <v>45</v>
      </c>
      <c r="E31" s="1" t="s">
        <v>31</v>
      </c>
      <c r="F31" s="1" t="s">
        <v>23</v>
      </c>
      <c r="G31" s="2">
        <v>45179</v>
      </c>
      <c r="H31">
        <v>1</v>
      </c>
      <c r="I31">
        <v>18260</v>
      </c>
      <c r="J31" s="1" t="s">
        <v>24</v>
      </c>
      <c r="K31">
        <v>2023</v>
      </c>
      <c r="L31" t="s">
        <v>44</v>
      </c>
      <c r="M31" t="s">
        <v>19</v>
      </c>
      <c r="N31">
        <v>9</v>
      </c>
    </row>
    <row r="32" spans="1:14" x14ac:dyDescent="0.25">
      <c r="A32">
        <v>31</v>
      </c>
      <c r="B32" s="1" t="s">
        <v>13</v>
      </c>
      <c r="C32">
        <v>59</v>
      </c>
      <c r="D32" s="1" t="s">
        <v>34</v>
      </c>
      <c r="E32" s="1" t="s">
        <v>35</v>
      </c>
      <c r="F32" s="1" t="s">
        <v>28</v>
      </c>
      <c r="G32" s="2">
        <v>45146</v>
      </c>
      <c r="H32">
        <v>4</v>
      </c>
      <c r="I32">
        <v>37440</v>
      </c>
      <c r="J32" s="1" t="s">
        <v>24</v>
      </c>
      <c r="K32">
        <v>2023</v>
      </c>
      <c r="L32" t="s">
        <v>47</v>
      </c>
      <c r="M32" t="s">
        <v>38</v>
      </c>
      <c r="N32">
        <v>8</v>
      </c>
    </row>
    <row r="33" spans="1:14" x14ac:dyDescent="0.25">
      <c r="A33">
        <v>32</v>
      </c>
      <c r="B33" s="1" t="s">
        <v>13</v>
      </c>
      <c r="C33">
        <v>27</v>
      </c>
      <c r="D33" s="1" t="s">
        <v>21</v>
      </c>
      <c r="E33" s="1" t="s">
        <v>35</v>
      </c>
      <c r="F33" s="1" t="s">
        <v>16</v>
      </c>
      <c r="G33" s="2">
        <v>44929</v>
      </c>
      <c r="H33">
        <v>12</v>
      </c>
      <c r="I33">
        <v>31546</v>
      </c>
      <c r="J33" s="1" t="s">
        <v>24</v>
      </c>
      <c r="K33">
        <v>2023</v>
      </c>
      <c r="L33" t="s">
        <v>48</v>
      </c>
      <c r="M33" t="s">
        <v>29</v>
      </c>
      <c r="N33">
        <v>1</v>
      </c>
    </row>
    <row r="34" spans="1:14" x14ac:dyDescent="0.25">
      <c r="A34">
        <v>33</v>
      </c>
      <c r="B34" s="1" t="s">
        <v>20</v>
      </c>
      <c r="C34">
        <v>49</v>
      </c>
      <c r="D34" s="1" t="s">
        <v>34</v>
      </c>
      <c r="E34" s="1" t="s">
        <v>35</v>
      </c>
      <c r="F34" s="1" t="s">
        <v>32</v>
      </c>
      <c r="G34" s="2">
        <v>45264</v>
      </c>
      <c r="H34">
        <v>12</v>
      </c>
      <c r="I34">
        <v>42047</v>
      </c>
      <c r="J34" s="1" t="s">
        <v>17</v>
      </c>
      <c r="K34">
        <v>2023</v>
      </c>
      <c r="L34" t="s">
        <v>26</v>
      </c>
      <c r="M34" t="s">
        <v>38</v>
      </c>
      <c r="N34">
        <v>12</v>
      </c>
    </row>
    <row r="35" spans="1:14" x14ac:dyDescent="0.25">
      <c r="A35">
        <v>34</v>
      </c>
      <c r="B35" s="1" t="s">
        <v>20</v>
      </c>
      <c r="C35">
        <v>77</v>
      </c>
      <c r="D35" s="1" t="s">
        <v>14</v>
      </c>
      <c r="E35" s="1" t="s">
        <v>31</v>
      </c>
      <c r="F35" s="1" t="s">
        <v>32</v>
      </c>
      <c r="G35" s="2">
        <v>44976</v>
      </c>
      <c r="H35">
        <v>11</v>
      </c>
      <c r="I35">
        <v>43430</v>
      </c>
      <c r="J35" s="1" t="s">
        <v>39</v>
      </c>
      <c r="K35">
        <v>2023</v>
      </c>
      <c r="L35" t="s">
        <v>46</v>
      </c>
      <c r="M35" t="s">
        <v>19</v>
      </c>
      <c r="N35">
        <v>2</v>
      </c>
    </row>
    <row r="36" spans="1:14" x14ac:dyDescent="0.25">
      <c r="A36">
        <v>35</v>
      </c>
      <c r="B36" s="1" t="s">
        <v>20</v>
      </c>
      <c r="C36">
        <v>33</v>
      </c>
      <c r="D36" s="1" t="s">
        <v>30</v>
      </c>
      <c r="E36" s="1" t="s">
        <v>15</v>
      </c>
      <c r="F36" s="1" t="s">
        <v>16</v>
      </c>
      <c r="G36" s="2">
        <v>45134</v>
      </c>
      <c r="H36">
        <v>8</v>
      </c>
      <c r="I36">
        <v>3987</v>
      </c>
      <c r="J36" s="1" t="s">
        <v>24</v>
      </c>
      <c r="K36">
        <v>2023</v>
      </c>
      <c r="L36" t="s">
        <v>36</v>
      </c>
      <c r="M36" t="s">
        <v>29</v>
      </c>
      <c r="N36">
        <v>7</v>
      </c>
    </row>
    <row r="37" spans="1:14" x14ac:dyDescent="0.25">
      <c r="A37">
        <v>36</v>
      </c>
      <c r="B37" s="1" t="s">
        <v>13</v>
      </c>
      <c r="C37">
        <v>1</v>
      </c>
      <c r="D37" s="1" t="s">
        <v>30</v>
      </c>
      <c r="E37" s="1" t="s">
        <v>15</v>
      </c>
      <c r="F37" s="1" t="s">
        <v>16</v>
      </c>
      <c r="G37" s="2">
        <v>45132</v>
      </c>
      <c r="H37">
        <v>10</v>
      </c>
      <c r="I37">
        <v>27105</v>
      </c>
      <c r="J37" s="1" t="s">
        <v>24</v>
      </c>
      <c r="K37">
        <v>2023</v>
      </c>
      <c r="L37" t="s">
        <v>36</v>
      </c>
      <c r="M37" t="s">
        <v>25</v>
      </c>
      <c r="N37">
        <v>7</v>
      </c>
    </row>
    <row r="38" spans="1:14" x14ac:dyDescent="0.25">
      <c r="A38">
        <v>37</v>
      </c>
      <c r="B38" s="1" t="s">
        <v>20</v>
      </c>
      <c r="C38">
        <v>21</v>
      </c>
      <c r="D38" s="1" t="s">
        <v>37</v>
      </c>
      <c r="E38" s="1" t="s">
        <v>35</v>
      </c>
      <c r="F38" s="1" t="s">
        <v>32</v>
      </c>
      <c r="G38" s="2">
        <v>45224</v>
      </c>
      <c r="H38">
        <v>7</v>
      </c>
      <c r="I38">
        <v>14948</v>
      </c>
      <c r="J38" s="1" t="s">
        <v>24</v>
      </c>
      <c r="K38">
        <v>2023</v>
      </c>
      <c r="L38" t="s">
        <v>41</v>
      </c>
      <c r="M38" t="s">
        <v>29</v>
      </c>
      <c r="N38">
        <v>10</v>
      </c>
    </row>
    <row r="39" spans="1:14" x14ac:dyDescent="0.25">
      <c r="A39">
        <v>38</v>
      </c>
      <c r="B39" s="1" t="s">
        <v>13</v>
      </c>
      <c r="C39">
        <v>55</v>
      </c>
      <c r="D39" s="1" t="s">
        <v>37</v>
      </c>
      <c r="E39" s="1" t="s">
        <v>27</v>
      </c>
      <c r="F39" s="1" t="s">
        <v>23</v>
      </c>
      <c r="G39" s="2">
        <v>45096</v>
      </c>
      <c r="H39">
        <v>9</v>
      </c>
      <c r="I39">
        <v>15026</v>
      </c>
      <c r="J39" s="1" t="s">
        <v>24</v>
      </c>
      <c r="K39">
        <v>2023</v>
      </c>
      <c r="L39" t="s">
        <v>40</v>
      </c>
      <c r="M39" t="s">
        <v>38</v>
      </c>
      <c r="N39">
        <v>6</v>
      </c>
    </row>
    <row r="40" spans="1:14" x14ac:dyDescent="0.25">
      <c r="A40">
        <v>39</v>
      </c>
      <c r="B40" s="1" t="s">
        <v>13</v>
      </c>
      <c r="C40">
        <v>6</v>
      </c>
      <c r="D40" s="1" t="s">
        <v>21</v>
      </c>
      <c r="E40" s="1" t="s">
        <v>15</v>
      </c>
      <c r="F40" s="1" t="s">
        <v>32</v>
      </c>
      <c r="G40" s="2">
        <v>45290</v>
      </c>
      <c r="H40">
        <v>5</v>
      </c>
      <c r="I40">
        <v>4773</v>
      </c>
      <c r="J40" s="1" t="s">
        <v>24</v>
      </c>
      <c r="K40">
        <v>2023</v>
      </c>
      <c r="L40" t="s">
        <v>26</v>
      </c>
      <c r="M40" t="s">
        <v>25</v>
      </c>
      <c r="N40">
        <v>12</v>
      </c>
    </row>
    <row r="41" spans="1:14" x14ac:dyDescent="0.25">
      <c r="A41">
        <v>40</v>
      </c>
      <c r="B41" s="1" t="s">
        <v>13</v>
      </c>
      <c r="C41">
        <v>81</v>
      </c>
      <c r="D41" s="1" t="s">
        <v>14</v>
      </c>
      <c r="E41" s="1" t="s">
        <v>31</v>
      </c>
      <c r="F41" s="1" t="s">
        <v>32</v>
      </c>
      <c r="G41" s="2">
        <v>44958</v>
      </c>
      <c r="H41">
        <v>13</v>
      </c>
      <c r="I41">
        <v>47927</v>
      </c>
      <c r="J41" s="1" t="s">
        <v>24</v>
      </c>
      <c r="K41">
        <v>2023</v>
      </c>
      <c r="L41" t="s">
        <v>46</v>
      </c>
      <c r="M41" t="s">
        <v>19</v>
      </c>
      <c r="N41">
        <v>2</v>
      </c>
    </row>
    <row r="42" spans="1:14" x14ac:dyDescent="0.25">
      <c r="A42">
        <v>41</v>
      </c>
      <c r="B42" s="1" t="s">
        <v>13</v>
      </c>
      <c r="C42">
        <v>69</v>
      </c>
      <c r="D42" s="1" t="s">
        <v>45</v>
      </c>
      <c r="E42" s="1" t="s">
        <v>22</v>
      </c>
      <c r="F42" s="1" t="s">
        <v>16</v>
      </c>
      <c r="G42" s="2">
        <v>45207</v>
      </c>
      <c r="H42">
        <v>10</v>
      </c>
      <c r="I42">
        <v>11878</v>
      </c>
      <c r="J42" s="1" t="s">
        <v>24</v>
      </c>
      <c r="K42">
        <v>2023</v>
      </c>
      <c r="L42" t="s">
        <v>41</v>
      </c>
      <c r="M42" t="s">
        <v>19</v>
      </c>
      <c r="N42">
        <v>10</v>
      </c>
    </row>
    <row r="43" spans="1:14" x14ac:dyDescent="0.25">
      <c r="A43">
        <v>42</v>
      </c>
      <c r="B43" s="1" t="s">
        <v>13</v>
      </c>
      <c r="C43">
        <v>5</v>
      </c>
      <c r="D43" s="1" t="s">
        <v>34</v>
      </c>
      <c r="E43" s="1" t="s">
        <v>22</v>
      </c>
      <c r="F43" s="1" t="s">
        <v>23</v>
      </c>
      <c r="G43" s="2">
        <v>45161</v>
      </c>
      <c r="H43">
        <v>4</v>
      </c>
      <c r="I43">
        <v>44946</v>
      </c>
      <c r="J43" s="1" t="s">
        <v>39</v>
      </c>
      <c r="K43">
        <v>2023</v>
      </c>
      <c r="L43" t="s">
        <v>47</v>
      </c>
      <c r="M43" t="s">
        <v>25</v>
      </c>
      <c r="N43">
        <v>8</v>
      </c>
    </row>
    <row r="44" spans="1:14" x14ac:dyDescent="0.25">
      <c r="A44">
        <v>43</v>
      </c>
      <c r="B44" s="1" t="s">
        <v>20</v>
      </c>
      <c r="C44">
        <v>3</v>
      </c>
      <c r="D44" s="1" t="s">
        <v>21</v>
      </c>
      <c r="E44" s="1" t="s">
        <v>22</v>
      </c>
      <c r="F44" s="1" t="s">
        <v>32</v>
      </c>
      <c r="G44" s="2">
        <v>44961</v>
      </c>
      <c r="H44">
        <v>8</v>
      </c>
      <c r="I44">
        <v>12377</v>
      </c>
      <c r="J44" s="1" t="s">
        <v>17</v>
      </c>
      <c r="K44">
        <v>2023</v>
      </c>
      <c r="L44" t="s">
        <v>46</v>
      </c>
      <c r="M44" t="s">
        <v>25</v>
      </c>
      <c r="N44">
        <v>2</v>
      </c>
    </row>
    <row r="45" spans="1:14" x14ac:dyDescent="0.25">
      <c r="A45">
        <v>44</v>
      </c>
      <c r="B45" s="1" t="s">
        <v>20</v>
      </c>
      <c r="C45">
        <v>53</v>
      </c>
      <c r="D45" s="1" t="s">
        <v>37</v>
      </c>
      <c r="E45" s="1" t="s">
        <v>27</v>
      </c>
      <c r="F45" s="1" t="s">
        <v>32</v>
      </c>
      <c r="G45" s="2">
        <v>45075</v>
      </c>
      <c r="H45">
        <v>9</v>
      </c>
      <c r="I45">
        <v>9347</v>
      </c>
      <c r="J45" s="1" t="s">
        <v>24</v>
      </c>
      <c r="K45">
        <v>2023</v>
      </c>
      <c r="L45" t="s">
        <v>42</v>
      </c>
      <c r="M45" t="s">
        <v>38</v>
      </c>
      <c r="N45">
        <v>5</v>
      </c>
    </row>
    <row r="46" spans="1:14" x14ac:dyDescent="0.25">
      <c r="A46">
        <v>45</v>
      </c>
      <c r="B46" s="1" t="s">
        <v>20</v>
      </c>
      <c r="C46">
        <v>23</v>
      </c>
      <c r="D46" s="1" t="s">
        <v>34</v>
      </c>
      <c r="E46" s="1" t="s">
        <v>35</v>
      </c>
      <c r="F46" s="1" t="s">
        <v>28</v>
      </c>
      <c r="G46" s="2">
        <v>45155</v>
      </c>
      <c r="H46">
        <v>13</v>
      </c>
      <c r="I46">
        <v>35776</v>
      </c>
      <c r="J46" s="1" t="s">
        <v>39</v>
      </c>
      <c r="K46">
        <v>2023</v>
      </c>
      <c r="L46" t="s">
        <v>47</v>
      </c>
      <c r="M46" t="s">
        <v>29</v>
      </c>
      <c r="N46">
        <v>8</v>
      </c>
    </row>
    <row r="47" spans="1:14" x14ac:dyDescent="0.25">
      <c r="A47">
        <v>46</v>
      </c>
      <c r="B47" s="1" t="s">
        <v>20</v>
      </c>
      <c r="C47">
        <v>53</v>
      </c>
      <c r="D47" s="1" t="s">
        <v>37</v>
      </c>
      <c r="E47" s="1" t="s">
        <v>31</v>
      </c>
      <c r="F47" s="1" t="s">
        <v>16</v>
      </c>
      <c r="G47" s="2">
        <v>45122</v>
      </c>
      <c r="H47">
        <v>7</v>
      </c>
      <c r="I47">
        <v>5783</v>
      </c>
      <c r="J47" s="1" t="s">
        <v>24</v>
      </c>
      <c r="K47">
        <v>2023</v>
      </c>
      <c r="L47" t="s">
        <v>36</v>
      </c>
      <c r="M47" t="s">
        <v>38</v>
      </c>
      <c r="N47">
        <v>7</v>
      </c>
    </row>
    <row r="48" spans="1:14" x14ac:dyDescent="0.25">
      <c r="A48">
        <v>47</v>
      </c>
      <c r="B48" s="1" t="s">
        <v>20</v>
      </c>
      <c r="C48">
        <v>37</v>
      </c>
      <c r="D48" s="1" t="s">
        <v>34</v>
      </c>
      <c r="E48" s="1" t="s">
        <v>27</v>
      </c>
      <c r="F48" s="1" t="s">
        <v>28</v>
      </c>
      <c r="G48" s="2">
        <v>45213</v>
      </c>
      <c r="H48">
        <v>14</v>
      </c>
      <c r="I48">
        <v>6298</v>
      </c>
      <c r="J48" s="1" t="s">
        <v>24</v>
      </c>
      <c r="K48">
        <v>2023</v>
      </c>
      <c r="L48" t="s">
        <v>41</v>
      </c>
      <c r="M48" t="s">
        <v>29</v>
      </c>
      <c r="N48">
        <v>10</v>
      </c>
    </row>
    <row r="49" spans="1:14" x14ac:dyDescent="0.25">
      <c r="A49">
        <v>48</v>
      </c>
      <c r="B49" s="1" t="s">
        <v>13</v>
      </c>
      <c r="C49">
        <v>74</v>
      </c>
      <c r="D49" s="1" t="s">
        <v>45</v>
      </c>
      <c r="E49" s="1" t="s">
        <v>31</v>
      </c>
      <c r="F49" s="1" t="s">
        <v>28</v>
      </c>
      <c r="G49" s="2">
        <v>45160</v>
      </c>
      <c r="H49">
        <v>7</v>
      </c>
      <c r="I49">
        <v>6668</v>
      </c>
      <c r="J49" s="1" t="s">
        <v>24</v>
      </c>
      <c r="K49">
        <v>2023</v>
      </c>
      <c r="L49" t="s">
        <v>47</v>
      </c>
      <c r="M49" t="s">
        <v>19</v>
      </c>
      <c r="N49">
        <v>8</v>
      </c>
    </row>
    <row r="50" spans="1:14" x14ac:dyDescent="0.25">
      <c r="A50">
        <v>49</v>
      </c>
      <c r="B50" s="1" t="s">
        <v>20</v>
      </c>
      <c r="C50">
        <v>74</v>
      </c>
      <c r="D50" s="1" t="s">
        <v>21</v>
      </c>
      <c r="E50" s="1" t="s">
        <v>31</v>
      </c>
      <c r="F50" s="1" t="s">
        <v>32</v>
      </c>
      <c r="G50" s="2">
        <v>45247</v>
      </c>
      <c r="H50">
        <v>5</v>
      </c>
      <c r="I50">
        <v>22671</v>
      </c>
      <c r="J50" s="1" t="s">
        <v>24</v>
      </c>
      <c r="K50">
        <v>2023</v>
      </c>
      <c r="L50" t="s">
        <v>18</v>
      </c>
      <c r="M50" t="s">
        <v>19</v>
      </c>
      <c r="N50">
        <v>11</v>
      </c>
    </row>
    <row r="51" spans="1:14" x14ac:dyDescent="0.25">
      <c r="A51">
        <v>50</v>
      </c>
      <c r="B51" s="1" t="s">
        <v>20</v>
      </c>
      <c r="C51">
        <v>83</v>
      </c>
      <c r="D51" s="1" t="s">
        <v>34</v>
      </c>
      <c r="E51" s="1" t="s">
        <v>35</v>
      </c>
      <c r="F51" s="1" t="s">
        <v>16</v>
      </c>
      <c r="G51" s="2">
        <v>45221</v>
      </c>
      <c r="H51">
        <v>4</v>
      </c>
      <c r="I51">
        <v>36820</v>
      </c>
      <c r="J51" s="1" t="s">
        <v>24</v>
      </c>
      <c r="K51">
        <v>2023</v>
      </c>
      <c r="L51" t="s">
        <v>41</v>
      </c>
      <c r="M51" t="s">
        <v>19</v>
      </c>
      <c r="N51">
        <v>10</v>
      </c>
    </row>
    <row r="52" spans="1:14" x14ac:dyDescent="0.25">
      <c r="A52">
        <v>51</v>
      </c>
      <c r="B52" s="1" t="s">
        <v>13</v>
      </c>
      <c r="C52">
        <v>17</v>
      </c>
      <c r="D52" s="1" t="s">
        <v>14</v>
      </c>
      <c r="E52" s="1" t="s">
        <v>22</v>
      </c>
      <c r="F52" s="1" t="s">
        <v>23</v>
      </c>
      <c r="G52" s="2">
        <v>45117</v>
      </c>
      <c r="H52">
        <v>14</v>
      </c>
      <c r="I52">
        <v>36484</v>
      </c>
      <c r="J52" s="1" t="s">
        <v>24</v>
      </c>
      <c r="K52">
        <v>2023</v>
      </c>
      <c r="L52" t="s">
        <v>36</v>
      </c>
      <c r="M52" t="s">
        <v>25</v>
      </c>
      <c r="N52">
        <v>7</v>
      </c>
    </row>
    <row r="53" spans="1:14" x14ac:dyDescent="0.25">
      <c r="A53">
        <v>52</v>
      </c>
      <c r="B53" s="1" t="s">
        <v>20</v>
      </c>
      <c r="C53">
        <v>85</v>
      </c>
      <c r="D53" s="1" t="s">
        <v>30</v>
      </c>
      <c r="E53" s="1" t="s">
        <v>35</v>
      </c>
      <c r="F53" s="1" t="s">
        <v>32</v>
      </c>
      <c r="G53" s="2">
        <v>45112</v>
      </c>
      <c r="H53">
        <v>10</v>
      </c>
      <c r="I53">
        <v>35078</v>
      </c>
      <c r="J53" s="1" t="s">
        <v>39</v>
      </c>
      <c r="K53">
        <v>2023</v>
      </c>
      <c r="L53" t="s">
        <v>36</v>
      </c>
      <c r="M53" t="s">
        <v>19</v>
      </c>
      <c r="N53">
        <v>7</v>
      </c>
    </row>
    <row r="54" spans="1:14" x14ac:dyDescent="0.25">
      <c r="A54">
        <v>53</v>
      </c>
      <c r="B54" s="1" t="s">
        <v>13</v>
      </c>
      <c r="C54">
        <v>78</v>
      </c>
      <c r="D54" s="1" t="s">
        <v>14</v>
      </c>
      <c r="E54" s="1" t="s">
        <v>27</v>
      </c>
      <c r="F54" s="1" t="s">
        <v>23</v>
      </c>
      <c r="G54" s="2">
        <v>44998</v>
      </c>
      <c r="H54">
        <v>1</v>
      </c>
      <c r="I54">
        <v>49159</v>
      </c>
      <c r="J54" s="1" t="s">
        <v>39</v>
      </c>
      <c r="K54">
        <v>2023</v>
      </c>
      <c r="L54" t="s">
        <v>43</v>
      </c>
      <c r="M54" t="s">
        <v>19</v>
      </c>
      <c r="N54">
        <v>3</v>
      </c>
    </row>
    <row r="55" spans="1:14" x14ac:dyDescent="0.25">
      <c r="A55">
        <v>54</v>
      </c>
      <c r="B55" s="1" t="s">
        <v>20</v>
      </c>
      <c r="C55">
        <v>73</v>
      </c>
      <c r="D55" s="1" t="s">
        <v>14</v>
      </c>
      <c r="E55" s="1" t="s">
        <v>27</v>
      </c>
      <c r="F55" s="1" t="s">
        <v>23</v>
      </c>
      <c r="G55" s="2">
        <v>45251</v>
      </c>
      <c r="H55">
        <v>10</v>
      </c>
      <c r="I55">
        <v>22922</v>
      </c>
      <c r="J55" s="1" t="s">
        <v>24</v>
      </c>
      <c r="K55">
        <v>2023</v>
      </c>
      <c r="L55" t="s">
        <v>18</v>
      </c>
      <c r="M55" t="s">
        <v>19</v>
      </c>
      <c r="N55">
        <v>11</v>
      </c>
    </row>
    <row r="56" spans="1:14" x14ac:dyDescent="0.25">
      <c r="A56">
        <v>55</v>
      </c>
      <c r="B56" s="1" t="s">
        <v>13</v>
      </c>
      <c r="C56">
        <v>1</v>
      </c>
      <c r="D56" s="1" t="s">
        <v>30</v>
      </c>
      <c r="E56" s="1" t="s">
        <v>27</v>
      </c>
      <c r="F56" s="1" t="s">
        <v>16</v>
      </c>
      <c r="G56" s="2">
        <v>44993</v>
      </c>
      <c r="H56">
        <v>10</v>
      </c>
      <c r="I56">
        <v>36028</v>
      </c>
      <c r="J56" s="1" t="s">
        <v>17</v>
      </c>
      <c r="K56">
        <v>2023</v>
      </c>
      <c r="L56" t="s">
        <v>43</v>
      </c>
      <c r="M56" t="s">
        <v>25</v>
      </c>
      <c r="N56">
        <v>3</v>
      </c>
    </row>
    <row r="57" spans="1:14" x14ac:dyDescent="0.25">
      <c r="A57">
        <v>56</v>
      </c>
      <c r="B57" s="1" t="s">
        <v>20</v>
      </c>
      <c r="C57">
        <v>51</v>
      </c>
      <c r="D57" s="1" t="s">
        <v>14</v>
      </c>
      <c r="E57" s="1" t="s">
        <v>35</v>
      </c>
      <c r="F57" s="1" t="s">
        <v>28</v>
      </c>
      <c r="G57" s="2">
        <v>45150</v>
      </c>
      <c r="H57">
        <v>7</v>
      </c>
      <c r="I57">
        <v>47925</v>
      </c>
      <c r="J57" s="1" t="s">
        <v>24</v>
      </c>
      <c r="K57">
        <v>2023</v>
      </c>
      <c r="L57" t="s">
        <v>47</v>
      </c>
      <c r="M57" t="s">
        <v>38</v>
      </c>
      <c r="N57">
        <v>8</v>
      </c>
    </row>
    <row r="58" spans="1:14" x14ac:dyDescent="0.25">
      <c r="A58">
        <v>57</v>
      </c>
      <c r="B58" s="1" t="s">
        <v>20</v>
      </c>
      <c r="C58">
        <v>45</v>
      </c>
      <c r="D58" s="1" t="s">
        <v>34</v>
      </c>
      <c r="E58" s="1" t="s">
        <v>31</v>
      </c>
      <c r="F58" s="1" t="s">
        <v>16</v>
      </c>
      <c r="G58" s="2">
        <v>45188</v>
      </c>
      <c r="H58">
        <v>1</v>
      </c>
      <c r="I58">
        <v>22316</v>
      </c>
      <c r="J58" s="1" t="s">
        <v>24</v>
      </c>
      <c r="K58">
        <v>2023</v>
      </c>
      <c r="L58" t="s">
        <v>44</v>
      </c>
      <c r="M58" t="s">
        <v>38</v>
      </c>
      <c r="N58">
        <v>9</v>
      </c>
    </row>
    <row r="59" spans="1:14" x14ac:dyDescent="0.25">
      <c r="A59">
        <v>58</v>
      </c>
      <c r="B59" s="1" t="s">
        <v>13</v>
      </c>
      <c r="C59">
        <v>77</v>
      </c>
      <c r="D59" s="1" t="s">
        <v>34</v>
      </c>
      <c r="E59" s="1" t="s">
        <v>31</v>
      </c>
      <c r="F59" s="1" t="s">
        <v>23</v>
      </c>
      <c r="G59" s="2">
        <v>45285</v>
      </c>
      <c r="H59">
        <v>1</v>
      </c>
      <c r="I59">
        <v>13460</v>
      </c>
      <c r="J59" s="1" t="s">
        <v>24</v>
      </c>
      <c r="K59">
        <v>2023</v>
      </c>
      <c r="L59" t="s">
        <v>26</v>
      </c>
      <c r="M59" t="s">
        <v>19</v>
      </c>
      <c r="N59">
        <v>12</v>
      </c>
    </row>
    <row r="60" spans="1:14" x14ac:dyDescent="0.25">
      <c r="A60">
        <v>59</v>
      </c>
      <c r="B60" s="1" t="s">
        <v>13</v>
      </c>
      <c r="C60">
        <v>4</v>
      </c>
      <c r="D60" s="1" t="s">
        <v>34</v>
      </c>
      <c r="E60" s="1" t="s">
        <v>15</v>
      </c>
      <c r="F60" s="1" t="s">
        <v>32</v>
      </c>
      <c r="G60" s="2">
        <v>45080</v>
      </c>
      <c r="H60">
        <v>5</v>
      </c>
      <c r="I60">
        <v>18968</v>
      </c>
      <c r="J60" s="1" t="s">
        <v>24</v>
      </c>
      <c r="K60">
        <v>2023</v>
      </c>
      <c r="L60" t="s">
        <v>40</v>
      </c>
      <c r="M60" t="s">
        <v>25</v>
      </c>
      <c r="N60">
        <v>6</v>
      </c>
    </row>
    <row r="61" spans="1:14" x14ac:dyDescent="0.25">
      <c r="A61">
        <v>60</v>
      </c>
      <c r="B61" s="1" t="s">
        <v>13</v>
      </c>
      <c r="C61">
        <v>62</v>
      </c>
      <c r="D61" s="1" t="s">
        <v>30</v>
      </c>
      <c r="E61" s="1" t="s">
        <v>27</v>
      </c>
      <c r="F61" s="1" t="s">
        <v>23</v>
      </c>
      <c r="G61" s="2">
        <v>45183</v>
      </c>
      <c r="H61">
        <v>13</v>
      </c>
      <c r="I61">
        <v>32266</v>
      </c>
      <c r="J61" s="1" t="s">
        <v>24</v>
      </c>
      <c r="K61">
        <v>2023</v>
      </c>
      <c r="L61" t="s">
        <v>44</v>
      </c>
      <c r="M61" t="s">
        <v>19</v>
      </c>
      <c r="N61">
        <v>9</v>
      </c>
    </row>
    <row r="62" spans="1:14" x14ac:dyDescent="0.25">
      <c r="A62">
        <v>61</v>
      </c>
      <c r="B62" s="1" t="s">
        <v>13</v>
      </c>
      <c r="C62">
        <v>65</v>
      </c>
      <c r="D62" s="1" t="s">
        <v>14</v>
      </c>
      <c r="E62" s="1" t="s">
        <v>31</v>
      </c>
      <c r="F62" s="1" t="s">
        <v>32</v>
      </c>
      <c r="G62" s="2">
        <v>44954</v>
      </c>
      <c r="H62">
        <v>9</v>
      </c>
      <c r="I62">
        <v>32209</v>
      </c>
      <c r="J62" s="1" t="s">
        <v>24</v>
      </c>
      <c r="K62">
        <v>2023</v>
      </c>
      <c r="L62" t="s">
        <v>48</v>
      </c>
      <c r="M62" t="s">
        <v>19</v>
      </c>
      <c r="N62">
        <v>1</v>
      </c>
    </row>
    <row r="63" spans="1:14" x14ac:dyDescent="0.25">
      <c r="A63">
        <v>62</v>
      </c>
      <c r="B63" s="1" t="s">
        <v>13</v>
      </c>
      <c r="C63">
        <v>32</v>
      </c>
      <c r="D63" s="1" t="s">
        <v>30</v>
      </c>
      <c r="E63" s="1" t="s">
        <v>15</v>
      </c>
      <c r="F63" s="1" t="s">
        <v>32</v>
      </c>
      <c r="G63" s="2">
        <v>45264</v>
      </c>
      <c r="H63">
        <v>6</v>
      </c>
      <c r="I63">
        <v>26000</v>
      </c>
      <c r="J63" s="1" t="s">
        <v>24</v>
      </c>
      <c r="K63">
        <v>2023</v>
      </c>
      <c r="L63" t="s">
        <v>26</v>
      </c>
      <c r="M63" t="s">
        <v>29</v>
      </c>
      <c r="N63">
        <v>12</v>
      </c>
    </row>
    <row r="64" spans="1:14" x14ac:dyDescent="0.25">
      <c r="A64">
        <v>63</v>
      </c>
      <c r="B64" s="1" t="s">
        <v>13</v>
      </c>
      <c r="C64">
        <v>34</v>
      </c>
      <c r="D64" s="1" t="s">
        <v>34</v>
      </c>
      <c r="E64" s="1" t="s">
        <v>31</v>
      </c>
      <c r="F64" s="1" t="s">
        <v>16</v>
      </c>
      <c r="G64" s="2">
        <v>44947</v>
      </c>
      <c r="H64">
        <v>3</v>
      </c>
      <c r="I64">
        <v>16011</v>
      </c>
      <c r="J64" s="1" t="s">
        <v>39</v>
      </c>
      <c r="K64">
        <v>2023</v>
      </c>
      <c r="L64" t="s">
        <v>48</v>
      </c>
      <c r="M64" t="s">
        <v>29</v>
      </c>
      <c r="N64">
        <v>1</v>
      </c>
    </row>
    <row r="65" spans="1:14" x14ac:dyDescent="0.25">
      <c r="A65">
        <v>64</v>
      </c>
      <c r="B65" s="1" t="s">
        <v>13</v>
      </c>
      <c r="C65">
        <v>72</v>
      </c>
      <c r="D65" s="1" t="s">
        <v>14</v>
      </c>
      <c r="E65" s="1" t="s">
        <v>27</v>
      </c>
      <c r="F65" s="1" t="s">
        <v>23</v>
      </c>
      <c r="G65" s="2">
        <v>45197</v>
      </c>
      <c r="H65">
        <v>13</v>
      </c>
      <c r="I65">
        <v>4866</v>
      </c>
      <c r="J65" s="1" t="s">
        <v>24</v>
      </c>
      <c r="K65">
        <v>2023</v>
      </c>
      <c r="L65" t="s">
        <v>44</v>
      </c>
      <c r="M65" t="s">
        <v>19</v>
      </c>
      <c r="N65">
        <v>9</v>
      </c>
    </row>
    <row r="66" spans="1:14" x14ac:dyDescent="0.25">
      <c r="A66">
        <v>65</v>
      </c>
      <c r="B66" s="1" t="s">
        <v>13</v>
      </c>
      <c r="C66">
        <v>39</v>
      </c>
      <c r="D66" s="1" t="s">
        <v>14</v>
      </c>
      <c r="E66" s="1" t="s">
        <v>22</v>
      </c>
      <c r="F66" s="1" t="s">
        <v>28</v>
      </c>
      <c r="G66" s="2">
        <v>45151</v>
      </c>
      <c r="H66">
        <v>3</v>
      </c>
      <c r="I66">
        <v>49133</v>
      </c>
      <c r="J66" s="1" t="s">
        <v>24</v>
      </c>
      <c r="K66">
        <v>2023</v>
      </c>
      <c r="L66" t="s">
        <v>47</v>
      </c>
      <c r="M66" t="s">
        <v>29</v>
      </c>
      <c r="N66">
        <v>8</v>
      </c>
    </row>
    <row r="67" spans="1:14" x14ac:dyDescent="0.25">
      <c r="A67">
        <v>66</v>
      </c>
      <c r="B67" s="1" t="s">
        <v>20</v>
      </c>
      <c r="C67">
        <v>26</v>
      </c>
      <c r="D67" s="1" t="s">
        <v>37</v>
      </c>
      <c r="E67" s="1" t="s">
        <v>27</v>
      </c>
      <c r="F67" s="1" t="s">
        <v>23</v>
      </c>
      <c r="G67" s="2">
        <v>45069</v>
      </c>
      <c r="H67">
        <v>7</v>
      </c>
      <c r="I67">
        <v>7898</v>
      </c>
      <c r="J67" s="1" t="s">
        <v>24</v>
      </c>
      <c r="K67">
        <v>2023</v>
      </c>
      <c r="L67" t="s">
        <v>42</v>
      </c>
      <c r="M67" t="s">
        <v>29</v>
      </c>
      <c r="N67">
        <v>5</v>
      </c>
    </row>
    <row r="68" spans="1:14" x14ac:dyDescent="0.25">
      <c r="A68">
        <v>67</v>
      </c>
      <c r="B68" s="1" t="s">
        <v>20</v>
      </c>
      <c r="C68">
        <v>34</v>
      </c>
      <c r="D68" s="1" t="s">
        <v>37</v>
      </c>
      <c r="E68" s="1" t="s">
        <v>35</v>
      </c>
      <c r="F68" s="1" t="s">
        <v>23</v>
      </c>
      <c r="G68" s="2">
        <v>45253</v>
      </c>
      <c r="H68">
        <v>6</v>
      </c>
      <c r="I68">
        <v>20395</v>
      </c>
      <c r="J68" s="1" t="s">
        <v>24</v>
      </c>
      <c r="K68">
        <v>2023</v>
      </c>
      <c r="L68" t="s">
        <v>18</v>
      </c>
      <c r="M68" t="s">
        <v>29</v>
      </c>
      <c r="N68">
        <v>11</v>
      </c>
    </row>
    <row r="69" spans="1:14" x14ac:dyDescent="0.25">
      <c r="A69">
        <v>68</v>
      </c>
      <c r="B69" s="1" t="s">
        <v>13</v>
      </c>
      <c r="C69">
        <v>54</v>
      </c>
      <c r="D69" s="1" t="s">
        <v>45</v>
      </c>
      <c r="E69" s="1" t="s">
        <v>31</v>
      </c>
      <c r="F69" s="1" t="s">
        <v>28</v>
      </c>
      <c r="G69" s="2">
        <v>45046</v>
      </c>
      <c r="H69">
        <v>9</v>
      </c>
      <c r="I69">
        <v>41019</v>
      </c>
      <c r="J69" s="1" t="s">
        <v>24</v>
      </c>
      <c r="K69">
        <v>2023</v>
      </c>
      <c r="L69" t="s">
        <v>33</v>
      </c>
      <c r="M69" t="s">
        <v>38</v>
      </c>
      <c r="N69">
        <v>4</v>
      </c>
    </row>
    <row r="70" spans="1:14" x14ac:dyDescent="0.25">
      <c r="A70">
        <v>69</v>
      </c>
      <c r="B70" s="1" t="s">
        <v>20</v>
      </c>
      <c r="C70">
        <v>3</v>
      </c>
      <c r="D70" s="1" t="s">
        <v>21</v>
      </c>
      <c r="E70" s="1" t="s">
        <v>31</v>
      </c>
      <c r="F70" s="1" t="s">
        <v>16</v>
      </c>
      <c r="G70" s="2">
        <v>45090</v>
      </c>
      <c r="H70">
        <v>6</v>
      </c>
      <c r="I70">
        <v>39707</v>
      </c>
      <c r="J70" s="1" t="s">
        <v>39</v>
      </c>
      <c r="K70">
        <v>2023</v>
      </c>
      <c r="L70" t="s">
        <v>40</v>
      </c>
      <c r="M70" t="s">
        <v>25</v>
      </c>
      <c r="N70">
        <v>6</v>
      </c>
    </row>
    <row r="71" spans="1:14" x14ac:dyDescent="0.25">
      <c r="A71">
        <v>70</v>
      </c>
      <c r="B71" s="1" t="s">
        <v>20</v>
      </c>
      <c r="C71">
        <v>50</v>
      </c>
      <c r="D71" s="1" t="s">
        <v>37</v>
      </c>
      <c r="E71" s="1" t="s">
        <v>35</v>
      </c>
      <c r="F71" s="1" t="s">
        <v>23</v>
      </c>
      <c r="G71" s="2">
        <v>45047</v>
      </c>
      <c r="H71">
        <v>5</v>
      </c>
      <c r="I71">
        <v>6006</v>
      </c>
      <c r="J71" s="1" t="s">
        <v>24</v>
      </c>
      <c r="K71">
        <v>2023</v>
      </c>
      <c r="L71" t="s">
        <v>42</v>
      </c>
      <c r="M71" t="s">
        <v>38</v>
      </c>
      <c r="N71">
        <v>5</v>
      </c>
    </row>
    <row r="72" spans="1:14" x14ac:dyDescent="0.25">
      <c r="A72">
        <v>71</v>
      </c>
      <c r="B72" s="1" t="s">
        <v>20</v>
      </c>
      <c r="C72">
        <v>12</v>
      </c>
      <c r="D72" s="1" t="s">
        <v>30</v>
      </c>
      <c r="E72" s="1" t="s">
        <v>35</v>
      </c>
      <c r="F72" s="1" t="s">
        <v>23</v>
      </c>
      <c r="G72" s="2">
        <v>44957</v>
      </c>
      <c r="H72">
        <v>10</v>
      </c>
      <c r="I72">
        <v>36393</v>
      </c>
      <c r="J72" s="1" t="s">
        <v>24</v>
      </c>
      <c r="K72">
        <v>2023</v>
      </c>
      <c r="L72" t="s">
        <v>48</v>
      </c>
      <c r="M72" t="s">
        <v>25</v>
      </c>
      <c r="N72">
        <v>1</v>
      </c>
    </row>
    <row r="73" spans="1:14" x14ac:dyDescent="0.25">
      <c r="A73">
        <v>72</v>
      </c>
      <c r="B73" s="1" t="s">
        <v>20</v>
      </c>
      <c r="C73">
        <v>65</v>
      </c>
      <c r="D73" s="1" t="s">
        <v>37</v>
      </c>
      <c r="E73" s="1" t="s">
        <v>22</v>
      </c>
      <c r="F73" s="1" t="s">
        <v>32</v>
      </c>
      <c r="G73" s="2">
        <v>45266</v>
      </c>
      <c r="H73">
        <v>7</v>
      </c>
      <c r="I73">
        <v>12956</v>
      </c>
      <c r="J73" s="1" t="s">
        <v>24</v>
      </c>
      <c r="K73">
        <v>2023</v>
      </c>
      <c r="L73" t="s">
        <v>26</v>
      </c>
      <c r="M73" t="s">
        <v>19</v>
      </c>
      <c r="N73">
        <v>12</v>
      </c>
    </row>
    <row r="74" spans="1:14" x14ac:dyDescent="0.25">
      <c r="A74">
        <v>73</v>
      </c>
      <c r="B74" s="1" t="s">
        <v>13</v>
      </c>
      <c r="C74">
        <v>54</v>
      </c>
      <c r="D74" s="1" t="s">
        <v>45</v>
      </c>
      <c r="E74" s="1" t="s">
        <v>31</v>
      </c>
      <c r="F74" s="1" t="s">
        <v>23</v>
      </c>
      <c r="G74" s="2">
        <v>45028</v>
      </c>
      <c r="H74">
        <v>1</v>
      </c>
      <c r="I74">
        <v>32663</v>
      </c>
      <c r="J74" s="1" t="s">
        <v>24</v>
      </c>
      <c r="K74">
        <v>2023</v>
      </c>
      <c r="L74" t="s">
        <v>33</v>
      </c>
      <c r="M74" t="s">
        <v>38</v>
      </c>
      <c r="N74">
        <v>4</v>
      </c>
    </row>
    <row r="75" spans="1:14" x14ac:dyDescent="0.25">
      <c r="A75">
        <v>74</v>
      </c>
      <c r="B75" s="1" t="s">
        <v>20</v>
      </c>
      <c r="C75">
        <v>5</v>
      </c>
      <c r="D75" s="1" t="s">
        <v>14</v>
      </c>
      <c r="E75" s="1" t="s">
        <v>31</v>
      </c>
      <c r="F75" s="1" t="s">
        <v>28</v>
      </c>
      <c r="G75" s="2">
        <v>44950</v>
      </c>
      <c r="H75">
        <v>12</v>
      </c>
      <c r="I75">
        <v>8078</v>
      </c>
      <c r="J75" s="1" t="s">
        <v>24</v>
      </c>
      <c r="K75">
        <v>2023</v>
      </c>
      <c r="L75" t="s">
        <v>48</v>
      </c>
      <c r="M75" t="s">
        <v>25</v>
      </c>
      <c r="N75">
        <v>1</v>
      </c>
    </row>
    <row r="76" spans="1:14" x14ac:dyDescent="0.25">
      <c r="A76">
        <v>75</v>
      </c>
      <c r="B76" s="1" t="s">
        <v>13</v>
      </c>
      <c r="C76">
        <v>57</v>
      </c>
      <c r="D76" s="1" t="s">
        <v>45</v>
      </c>
      <c r="E76" s="1" t="s">
        <v>22</v>
      </c>
      <c r="F76" s="1" t="s">
        <v>32</v>
      </c>
      <c r="G76" s="2">
        <v>44932</v>
      </c>
      <c r="H76">
        <v>7</v>
      </c>
      <c r="I76">
        <v>31631</v>
      </c>
      <c r="J76" s="1" t="s">
        <v>24</v>
      </c>
      <c r="K76">
        <v>2023</v>
      </c>
      <c r="L76" t="s">
        <v>48</v>
      </c>
      <c r="M76" t="s">
        <v>38</v>
      </c>
      <c r="N76">
        <v>1</v>
      </c>
    </row>
    <row r="77" spans="1:14" x14ac:dyDescent="0.25">
      <c r="A77">
        <v>76</v>
      </c>
      <c r="B77" s="1" t="s">
        <v>20</v>
      </c>
      <c r="C77">
        <v>17</v>
      </c>
      <c r="D77" s="1" t="s">
        <v>14</v>
      </c>
      <c r="E77" s="1" t="s">
        <v>15</v>
      </c>
      <c r="F77" s="1" t="s">
        <v>16</v>
      </c>
      <c r="G77" s="2">
        <v>45273</v>
      </c>
      <c r="H77">
        <v>3</v>
      </c>
      <c r="I77">
        <v>32140</v>
      </c>
      <c r="J77" s="1" t="s">
        <v>17</v>
      </c>
      <c r="K77">
        <v>2023</v>
      </c>
      <c r="L77" t="s">
        <v>26</v>
      </c>
      <c r="M77" t="s">
        <v>25</v>
      </c>
      <c r="N77">
        <v>12</v>
      </c>
    </row>
    <row r="78" spans="1:14" x14ac:dyDescent="0.25">
      <c r="A78">
        <v>77</v>
      </c>
      <c r="B78" s="1" t="s">
        <v>20</v>
      </c>
      <c r="C78">
        <v>47</v>
      </c>
      <c r="D78" s="1" t="s">
        <v>14</v>
      </c>
      <c r="E78" s="1" t="s">
        <v>22</v>
      </c>
      <c r="F78" s="1" t="s">
        <v>32</v>
      </c>
      <c r="G78" s="2">
        <v>44978</v>
      </c>
      <c r="H78">
        <v>14</v>
      </c>
      <c r="I78">
        <v>43691</v>
      </c>
      <c r="J78" s="1" t="s">
        <v>24</v>
      </c>
      <c r="K78">
        <v>2023</v>
      </c>
      <c r="L78" t="s">
        <v>46</v>
      </c>
      <c r="M78" t="s">
        <v>38</v>
      </c>
      <c r="N78">
        <v>2</v>
      </c>
    </row>
    <row r="79" spans="1:14" x14ac:dyDescent="0.25">
      <c r="A79">
        <v>78</v>
      </c>
      <c r="B79" s="1" t="s">
        <v>20</v>
      </c>
      <c r="C79">
        <v>23</v>
      </c>
      <c r="D79" s="1" t="s">
        <v>21</v>
      </c>
      <c r="E79" s="1" t="s">
        <v>27</v>
      </c>
      <c r="F79" s="1" t="s">
        <v>28</v>
      </c>
      <c r="G79" s="2">
        <v>45097</v>
      </c>
      <c r="H79">
        <v>9</v>
      </c>
      <c r="I79">
        <v>5961</v>
      </c>
      <c r="J79" s="1" t="s">
        <v>24</v>
      </c>
      <c r="K79">
        <v>2023</v>
      </c>
      <c r="L79" t="s">
        <v>40</v>
      </c>
      <c r="M79" t="s">
        <v>29</v>
      </c>
      <c r="N79">
        <v>6</v>
      </c>
    </row>
    <row r="80" spans="1:14" x14ac:dyDescent="0.25">
      <c r="A80">
        <v>79</v>
      </c>
      <c r="B80" s="1" t="s">
        <v>13</v>
      </c>
      <c r="C80">
        <v>79</v>
      </c>
      <c r="D80" s="1" t="s">
        <v>37</v>
      </c>
      <c r="E80" s="1" t="s">
        <v>31</v>
      </c>
      <c r="F80" s="1" t="s">
        <v>28</v>
      </c>
      <c r="G80" s="2">
        <v>44953</v>
      </c>
      <c r="H80">
        <v>6</v>
      </c>
      <c r="I80">
        <v>31277</v>
      </c>
      <c r="J80" s="1" t="s">
        <v>24</v>
      </c>
      <c r="K80">
        <v>2023</v>
      </c>
      <c r="L80" t="s">
        <v>48</v>
      </c>
      <c r="M80" t="s">
        <v>19</v>
      </c>
      <c r="N80">
        <v>1</v>
      </c>
    </row>
    <row r="81" spans="1:14" x14ac:dyDescent="0.25">
      <c r="A81">
        <v>80</v>
      </c>
      <c r="B81" s="1" t="s">
        <v>20</v>
      </c>
      <c r="C81">
        <v>85</v>
      </c>
      <c r="D81" s="1" t="s">
        <v>30</v>
      </c>
      <c r="E81" s="1" t="s">
        <v>35</v>
      </c>
      <c r="F81" s="1" t="s">
        <v>32</v>
      </c>
      <c r="G81" s="2">
        <v>45102</v>
      </c>
      <c r="H81">
        <v>9</v>
      </c>
      <c r="I81">
        <v>43574</v>
      </c>
      <c r="J81" s="1" t="s">
        <v>24</v>
      </c>
      <c r="K81">
        <v>2023</v>
      </c>
      <c r="L81" t="s">
        <v>40</v>
      </c>
      <c r="M81" t="s">
        <v>19</v>
      </c>
      <c r="N81">
        <v>6</v>
      </c>
    </row>
    <row r="82" spans="1:14" x14ac:dyDescent="0.25">
      <c r="A82">
        <v>81</v>
      </c>
      <c r="B82" s="1" t="s">
        <v>13</v>
      </c>
      <c r="C82">
        <v>14</v>
      </c>
      <c r="D82" s="1" t="s">
        <v>30</v>
      </c>
      <c r="E82" s="1" t="s">
        <v>27</v>
      </c>
      <c r="F82" s="1" t="s">
        <v>16</v>
      </c>
      <c r="G82" s="2">
        <v>45037</v>
      </c>
      <c r="H82">
        <v>13</v>
      </c>
      <c r="I82">
        <v>33417</v>
      </c>
      <c r="J82" s="1" t="s">
        <v>24</v>
      </c>
      <c r="K82">
        <v>2023</v>
      </c>
      <c r="L82" t="s">
        <v>33</v>
      </c>
      <c r="M82" t="s">
        <v>25</v>
      </c>
      <c r="N82">
        <v>4</v>
      </c>
    </row>
    <row r="83" spans="1:14" x14ac:dyDescent="0.25">
      <c r="A83">
        <v>82</v>
      </c>
      <c r="B83" s="1" t="s">
        <v>20</v>
      </c>
      <c r="C83">
        <v>66</v>
      </c>
      <c r="D83" s="1" t="s">
        <v>34</v>
      </c>
      <c r="E83" s="1" t="s">
        <v>31</v>
      </c>
      <c r="F83" s="1" t="s">
        <v>32</v>
      </c>
      <c r="G83" s="2">
        <v>45196</v>
      </c>
      <c r="H83">
        <v>5</v>
      </c>
      <c r="I83">
        <v>24484</v>
      </c>
      <c r="J83" s="1" t="s">
        <v>17</v>
      </c>
      <c r="K83">
        <v>2023</v>
      </c>
      <c r="L83" t="s">
        <v>44</v>
      </c>
      <c r="M83" t="s">
        <v>19</v>
      </c>
      <c r="N83">
        <v>9</v>
      </c>
    </row>
    <row r="84" spans="1:14" x14ac:dyDescent="0.25">
      <c r="A84">
        <v>83</v>
      </c>
      <c r="B84" s="1" t="s">
        <v>13</v>
      </c>
      <c r="C84">
        <v>75</v>
      </c>
      <c r="D84" s="1" t="s">
        <v>14</v>
      </c>
      <c r="E84" s="1" t="s">
        <v>22</v>
      </c>
      <c r="F84" s="1" t="s">
        <v>16</v>
      </c>
      <c r="G84" s="2">
        <v>44988</v>
      </c>
      <c r="H84">
        <v>7</v>
      </c>
      <c r="I84">
        <v>20103</v>
      </c>
      <c r="J84" s="1" t="s">
        <v>24</v>
      </c>
      <c r="K84">
        <v>2023</v>
      </c>
      <c r="L84" t="s">
        <v>43</v>
      </c>
      <c r="M84" t="s">
        <v>19</v>
      </c>
      <c r="N84">
        <v>3</v>
      </c>
    </row>
    <row r="85" spans="1:14" x14ac:dyDescent="0.25">
      <c r="A85">
        <v>84</v>
      </c>
      <c r="B85" s="1" t="s">
        <v>20</v>
      </c>
      <c r="C85">
        <v>51</v>
      </c>
      <c r="D85" s="1" t="s">
        <v>30</v>
      </c>
      <c r="E85" s="1" t="s">
        <v>27</v>
      </c>
      <c r="F85" s="1" t="s">
        <v>32</v>
      </c>
      <c r="G85" s="2">
        <v>45079</v>
      </c>
      <c r="H85">
        <v>13</v>
      </c>
      <c r="I85">
        <v>31345</v>
      </c>
      <c r="J85" s="1" t="s">
        <v>24</v>
      </c>
      <c r="K85">
        <v>2023</v>
      </c>
      <c r="L85" t="s">
        <v>40</v>
      </c>
      <c r="M85" t="s">
        <v>38</v>
      </c>
      <c r="N85">
        <v>6</v>
      </c>
    </row>
    <row r="86" spans="1:14" x14ac:dyDescent="0.25">
      <c r="A86">
        <v>85</v>
      </c>
      <c r="B86" s="1" t="s">
        <v>13</v>
      </c>
      <c r="C86">
        <v>38</v>
      </c>
      <c r="D86" s="1" t="s">
        <v>21</v>
      </c>
      <c r="E86" s="1" t="s">
        <v>31</v>
      </c>
      <c r="F86" s="1" t="s">
        <v>28</v>
      </c>
      <c r="G86" s="2">
        <v>45206</v>
      </c>
      <c r="H86">
        <v>14</v>
      </c>
      <c r="I86">
        <v>48326</v>
      </c>
      <c r="J86" s="1" t="s">
        <v>24</v>
      </c>
      <c r="K86">
        <v>2023</v>
      </c>
      <c r="L86" t="s">
        <v>41</v>
      </c>
      <c r="M86" t="s">
        <v>29</v>
      </c>
      <c r="N86">
        <v>10</v>
      </c>
    </row>
    <row r="87" spans="1:14" x14ac:dyDescent="0.25">
      <c r="A87">
        <v>86</v>
      </c>
      <c r="B87" s="1" t="s">
        <v>13</v>
      </c>
      <c r="C87">
        <v>64</v>
      </c>
      <c r="D87" s="1" t="s">
        <v>14</v>
      </c>
      <c r="E87" s="1" t="s">
        <v>15</v>
      </c>
      <c r="F87" s="1" t="s">
        <v>23</v>
      </c>
      <c r="G87" s="2">
        <v>45089</v>
      </c>
      <c r="H87">
        <v>4</v>
      </c>
      <c r="I87">
        <v>41454</v>
      </c>
      <c r="J87" s="1" t="s">
        <v>24</v>
      </c>
      <c r="K87">
        <v>2023</v>
      </c>
      <c r="L87" t="s">
        <v>40</v>
      </c>
      <c r="M87" t="s">
        <v>19</v>
      </c>
      <c r="N87">
        <v>6</v>
      </c>
    </row>
    <row r="88" spans="1:14" x14ac:dyDescent="0.25">
      <c r="A88">
        <v>87</v>
      </c>
      <c r="B88" s="1" t="s">
        <v>20</v>
      </c>
      <c r="C88">
        <v>38</v>
      </c>
      <c r="D88" s="1" t="s">
        <v>21</v>
      </c>
      <c r="E88" s="1" t="s">
        <v>15</v>
      </c>
      <c r="F88" s="1" t="s">
        <v>23</v>
      </c>
      <c r="G88" s="2">
        <v>45031</v>
      </c>
      <c r="H88">
        <v>7</v>
      </c>
      <c r="I88">
        <v>3587</v>
      </c>
      <c r="J88" s="1" t="s">
        <v>24</v>
      </c>
      <c r="K88">
        <v>2023</v>
      </c>
      <c r="L88" t="s">
        <v>33</v>
      </c>
      <c r="M88" t="s">
        <v>29</v>
      </c>
      <c r="N88">
        <v>4</v>
      </c>
    </row>
    <row r="89" spans="1:14" x14ac:dyDescent="0.25">
      <c r="A89">
        <v>88</v>
      </c>
      <c r="B89" s="1" t="s">
        <v>13</v>
      </c>
      <c r="C89">
        <v>50</v>
      </c>
      <c r="D89" s="1" t="s">
        <v>30</v>
      </c>
      <c r="E89" s="1" t="s">
        <v>35</v>
      </c>
      <c r="F89" s="1" t="s">
        <v>16</v>
      </c>
      <c r="G89" s="2">
        <v>45116</v>
      </c>
      <c r="H89">
        <v>13</v>
      </c>
      <c r="I89">
        <v>44571</v>
      </c>
      <c r="J89" s="1" t="s">
        <v>24</v>
      </c>
      <c r="K89">
        <v>2023</v>
      </c>
      <c r="L89" t="s">
        <v>36</v>
      </c>
      <c r="M89" t="s">
        <v>38</v>
      </c>
      <c r="N89">
        <v>7</v>
      </c>
    </row>
    <row r="90" spans="1:14" x14ac:dyDescent="0.25">
      <c r="A90">
        <v>89</v>
      </c>
      <c r="B90" s="1" t="s">
        <v>20</v>
      </c>
      <c r="C90">
        <v>82</v>
      </c>
      <c r="D90" s="1" t="s">
        <v>30</v>
      </c>
      <c r="E90" s="1" t="s">
        <v>31</v>
      </c>
      <c r="F90" s="1" t="s">
        <v>16</v>
      </c>
      <c r="G90" s="2">
        <v>45068</v>
      </c>
      <c r="H90">
        <v>1</v>
      </c>
      <c r="I90">
        <v>23031</v>
      </c>
      <c r="J90" s="1" t="s">
        <v>24</v>
      </c>
      <c r="K90">
        <v>2023</v>
      </c>
      <c r="L90" t="s">
        <v>42</v>
      </c>
      <c r="M90" t="s">
        <v>19</v>
      </c>
      <c r="N90">
        <v>5</v>
      </c>
    </row>
    <row r="91" spans="1:14" x14ac:dyDescent="0.25">
      <c r="A91">
        <v>90</v>
      </c>
      <c r="B91" s="1" t="s">
        <v>20</v>
      </c>
      <c r="C91">
        <v>30</v>
      </c>
      <c r="D91" s="1" t="s">
        <v>34</v>
      </c>
      <c r="E91" s="1" t="s">
        <v>15</v>
      </c>
      <c r="F91" s="1" t="s">
        <v>16</v>
      </c>
      <c r="G91" s="2">
        <v>45176</v>
      </c>
      <c r="H91">
        <v>7</v>
      </c>
      <c r="I91">
        <v>28212</v>
      </c>
      <c r="J91" s="1" t="s">
        <v>24</v>
      </c>
      <c r="K91">
        <v>2023</v>
      </c>
      <c r="L91" t="s">
        <v>44</v>
      </c>
      <c r="M91" t="s">
        <v>29</v>
      </c>
      <c r="N91">
        <v>9</v>
      </c>
    </row>
    <row r="92" spans="1:14" x14ac:dyDescent="0.25">
      <c r="A92">
        <v>91</v>
      </c>
      <c r="B92" s="1" t="s">
        <v>20</v>
      </c>
      <c r="C92">
        <v>79</v>
      </c>
      <c r="D92" s="1" t="s">
        <v>30</v>
      </c>
      <c r="E92" s="1" t="s">
        <v>22</v>
      </c>
      <c r="F92" s="1" t="s">
        <v>28</v>
      </c>
      <c r="G92" s="2">
        <v>45233</v>
      </c>
      <c r="H92">
        <v>8</v>
      </c>
      <c r="I92">
        <v>12350</v>
      </c>
      <c r="J92" s="1" t="s">
        <v>39</v>
      </c>
      <c r="K92">
        <v>2023</v>
      </c>
      <c r="L92" t="s">
        <v>18</v>
      </c>
      <c r="M92" t="s">
        <v>19</v>
      </c>
      <c r="N92">
        <v>11</v>
      </c>
    </row>
    <row r="93" spans="1:14" x14ac:dyDescent="0.25">
      <c r="A93">
        <v>92</v>
      </c>
      <c r="B93" s="1" t="s">
        <v>20</v>
      </c>
      <c r="C93">
        <v>51</v>
      </c>
      <c r="D93" s="1" t="s">
        <v>14</v>
      </c>
      <c r="E93" s="1" t="s">
        <v>31</v>
      </c>
      <c r="F93" s="1" t="s">
        <v>32</v>
      </c>
      <c r="G93" s="2">
        <v>44977</v>
      </c>
      <c r="H93">
        <v>5</v>
      </c>
      <c r="I93">
        <v>20816</v>
      </c>
      <c r="J93" s="1" t="s">
        <v>24</v>
      </c>
      <c r="K93">
        <v>2023</v>
      </c>
      <c r="L93" t="s">
        <v>46</v>
      </c>
      <c r="M93" t="s">
        <v>38</v>
      </c>
      <c r="N93">
        <v>2</v>
      </c>
    </row>
    <row r="94" spans="1:14" x14ac:dyDescent="0.25">
      <c r="A94">
        <v>93</v>
      </c>
      <c r="B94" s="1" t="s">
        <v>20</v>
      </c>
      <c r="C94">
        <v>63</v>
      </c>
      <c r="D94" s="1" t="s">
        <v>14</v>
      </c>
      <c r="E94" s="1" t="s">
        <v>22</v>
      </c>
      <c r="F94" s="1" t="s">
        <v>28</v>
      </c>
      <c r="G94" s="2">
        <v>45197</v>
      </c>
      <c r="H94">
        <v>2</v>
      </c>
      <c r="I94">
        <v>22288</v>
      </c>
      <c r="J94" s="1" t="s">
        <v>24</v>
      </c>
      <c r="K94">
        <v>2023</v>
      </c>
      <c r="L94" t="s">
        <v>44</v>
      </c>
      <c r="M94" t="s">
        <v>19</v>
      </c>
      <c r="N94">
        <v>9</v>
      </c>
    </row>
    <row r="95" spans="1:14" x14ac:dyDescent="0.25">
      <c r="A95">
        <v>94</v>
      </c>
      <c r="B95" s="1" t="s">
        <v>20</v>
      </c>
      <c r="C95">
        <v>52</v>
      </c>
      <c r="D95" s="1" t="s">
        <v>14</v>
      </c>
      <c r="E95" s="1" t="s">
        <v>22</v>
      </c>
      <c r="F95" s="1" t="s">
        <v>23</v>
      </c>
      <c r="G95" s="2">
        <v>45110</v>
      </c>
      <c r="H95">
        <v>5</v>
      </c>
      <c r="I95">
        <v>31432</v>
      </c>
      <c r="J95" s="1" t="s">
        <v>24</v>
      </c>
      <c r="K95">
        <v>2023</v>
      </c>
      <c r="L95" t="s">
        <v>36</v>
      </c>
      <c r="M95" t="s">
        <v>38</v>
      </c>
      <c r="N95">
        <v>7</v>
      </c>
    </row>
    <row r="96" spans="1:14" x14ac:dyDescent="0.25">
      <c r="A96">
        <v>95</v>
      </c>
      <c r="B96" s="1" t="s">
        <v>20</v>
      </c>
      <c r="C96">
        <v>38</v>
      </c>
      <c r="D96" s="1" t="s">
        <v>34</v>
      </c>
      <c r="E96" s="1" t="s">
        <v>15</v>
      </c>
      <c r="F96" s="1" t="s">
        <v>16</v>
      </c>
      <c r="G96" s="2">
        <v>45044</v>
      </c>
      <c r="H96">
        <v>6</v>
      </c>
      <c r="I96">
        <v>46222</v>
      </c>
      <c r="J96" s="1" t="s">
        <v>24</v>
      </c>
      <c r="K96">
        <v>2023</v>
      </c>
      <c r="L96" t="s">
        <v>33</v>
      </c>
      <c r="M96" t="s">
        <v>29</v>
      </c>
      <c r="N96">
        <v>4</v>
      </c>
    </row>
    <row r="97" spans="1:14" x14ac:dyDescent="0.25">
      <c r="A97">
        <v>96</v>
      </c>
      <c r="B97" s="1" t="s">
        <v>20</v>
      </c>
      <c r="C97">
        <v>88</v>
      </c>
      <c r="D97" s="1" t="s">
        <v>34</v>
      </c>
      <c r="E97" s="1" t="s">
        <v>31</v>
      </c>
      <c r="F97" s="1" t="s">
        <v>32</v>
      </c>
      <c r="G97" s="2">
        <v>45136</v>
      </c>
      <c r="H97">
        <v>12</v>
      </c>
      <c r="I97">
        <v>8837</v>
      </c>
      <c r="J97" s="1" t="s">
        <v>24</v>
      </c>
      <c r="K97">
        <v>2023</v>
      </c>
      <c r="L97" t="s">
        <v>36</v>
      </c>
      <c r="M97" t="s">
        <v>19</v>
      </c>
      <c r="N97">
        <v>7</v>
      </c>
    </row>
    <row r="98" spans="1:14" x14ac:dyDescent="0.25">
      <c r="A98">
        <v>97</v>
      </c>
      <c r="B98" s="1" t="s">
        <v>20</v>
      </c>
      <c r="C98">
        <v>79</v>
      </c>
      <c r="D98" s="1" t="s">
        <v>30</v>
      </c>
      <c r="E98" s="1" t="s">
        <v>27</v>
      </c>
      <c r="F98" s="1" t="s">
        <v>23</v>
      </c>
      <c r="G98" s="2">
        <v>45256</v>
      </c>
      <c r="H98">
        <v>2</v>
      </c>
      <c r="I98">
        <v>36217</v>
      </c>
      <c r="J98" s="1" t="s">
        <v>24</v>
      </c>
      <c r="K98">
        <v>2023</v>
      </c>
      <c r="L98" t="s">
        <v>18</v>
      </c>
      <c r="M98" t="s">
        <v>19</v>
      </c>
      <c r="N98">
        <v>11</v>
      </c>
    </row>
    <row r="99" spans="1:14" x14ac:dyDescent="0.25">
      <c r="A99">
        <v>98</v>
      </c>
      <c r="B99" s="1" t="s">
        <v>20</v>
      </c>
      <c r="C99">
        <v>30</v>
      </c>
      <c r="D99" s="1" t="s">
        <v>45</v>
      </c>
      <c r="E99" s="1" t="s">
        <v>15</v>
      </c>
      <c r="F99" s="1" t="s">
        <v>23</v>
      </c>
      <c r="G99" s="2">
        <v>45071</v>
      </c>
      <c r="H99">
        <v>14</v>
      </c>
      <c r="I99">
        <v>22884</v>
      </c>
      <c r="J99" s="1" t="s">
        <v>24</v>
      </c>
      <c r="K99">
        <v>2023</v>
      </c>
      <c r="L99" t="s">
        <v>42</v>
      </c>
      <c r="M99" t="s">
        <v>29</v>
      </c>
      <c r="N99">
        <v>5</v>
      </c>
    </row>
    <row r="100" spans="1:14" x14ac:dyDescent="0.25">
      <c r="A100">
        <v>99</v>
      </c>
      <c r="B100" s="1" t="s">
        <v>20</v>
      </c>
      <c r="C100">
        <v>51</v>
      </c>
      <c r="D100" s="1" t="s">
        <v>45</v>
      </c>
      <c r="E100" s="1" t="s">
        <v>15</v>
      </c>
      <c r="F100" s="1" t="s">
        <v>23</v>
      </c>
      <c r="G100" s="2">
        <v>45226</v>
      </c>
      <c r="H100">
        <v>6</v>
      </c>
      <c r="I100">
        <v>7454</v>
      </c>
      <c r="J100" s="1" t="s">
        <v>24</v>
      </c>
      <c r="K100">
        <v>2023</v>
      </c>
      <c r="L100" t="s">
        <v>41</v>
      </c>
      <c r="M100" t="s">
        <v>38</v>
      </c>
      <c r="N100">
        <v>10</v>
      </c>
    </row>
    <row r="101" spans="1:14" x14ac:dyDescent="0.25">
      <c r="A101">
        <v>100</v>
      </c>
      <c r="B101" s="1" t="s">
        <v>13</v>
      </c>
      <c r="C101">
        <v>81</v>
      </c>
      <c r="D101" s="1" t="s">
        <v>34</v>
      </c>
      <c r="E101" s="1" t="s">
        <v>31</v>
      </c>
      <c r="F101" s="1" t="s">
        <v>28</v>
      </c>
      <c r="G101" s="2">
        <v>45219</v>
      </c>
      <c r="H101">
        <v>6</v>
      </c>
      <c r="I101">
        <v>11424</v>
      </c>
      <c r="J101" s="1" t="s">
        <v>24</v>
      </c>
      <c r="K101">
        <v>2023</v>
      </c>
      <c r="L101" t="s">
        <v>41</v>
      </c>
      <c r="M101" t="s">
        <v>19</v>
      </c>
      <c r="N101">
        <v>10</v>
      </c>
    </row>
    <row r="102" spans="1:14" x14ac:dyDescent="0.25">
      <c r="A102">
        <v>101</v>
      </c>
      <c r="B102" s="1" t="s">
        <v>13</v>
      </c>
      <c r="C102">
        <v>5</v>
      </c>
      <c r="D102" s="1" t="s">
        <v>30</v>
      </c>
      <c r="E102" s="1" t="s">
        <v>31</v>
      </c>
      <c r="F102" s="1" t="s">
        <v>16</v>
      </c>
      <c r="G102" s="2">
        <v>45069</v>
      </c>
      <c r="H102">
        <v>1</v>
      </c>
      <c r="I102">
        <v>38885</v>
      </c>
      <c r="J102" s="1" t="s">
        <v>24</v>
      </c>
      <c r="K102">
        <v>2023</v>
      </c>
      <c r="L102" t="s">
        <v>42</v>
      </c>
      <c r="M102" t="s">
        <v>25</v>
      </c>
      <c r="N102">
        <v>5</v>
      </c>
    </row>
    <row r="103" spans="1:14" x14ac:dyDescent="0.25">
      <c r="A103">
        <v>102</v>
      </c>
      <c r="B103" s="1" t="s">
        <v>20</v>
      </c>
      <c r="C103">
        <v>29</v>
      </c>
      <c r="D103" s="1" t="s">
        <v>45</v>
      </c>
      <c r="E103" s="1" t="s">
        <v>22</v>
      </c>
      <c r="F103" s="1" t="s">
        <v>23</v>
      </c>
      <c r="G103" s="2">
        <v>45274</v>
      </c>
      <c r="H103">
        <v>14</v>
      </c>
      <c r="I103">
        <v>43637</v>
      </c>
      <c r="J103" s="1" t="s">
        <v>39</v>
      </c>
      <c r="K103">
        <v>2023</v>
      </c>
      <c r="L103" t="s">
        <v>26</v>
      </c>
      <c r="M103" t="s">
        <v>29</v>
      </c>
      <c r="N103">
        <v>12</v>
      </c>
    </row>
    <row r="104" spans="1:14" x14ac:dyDescent="0.25">
      <c r="A104">
        <v>103</v>
      </c>
      <c r="B104" s="1" t="s">
        <v>20</v>
      </c>
      <c r="C104">
        <v>4</v>
      </c>
      <c r="D104" s="1" t="s">
        <v>30</v>
      </c>
      <c r="E104" s="1" t="s">
        <v>31</v>
      </c>
      <c r="F104" s="1" t="s">
        <v>16</v>
      </c>
      <c r="G104" s="2">
        <v>45026</v>
      </c>
      <c r="H104">
        <v>1</v>
      </c>
      <c r="I104">
        <v>45618</v>
      </c>
      <c r="J104" s="1" t="s">
        <v>24</v>
      </c>
      <c r="K104">
        <v>2023</v>
      </c>
      <c r="L104" t="s">
        <v>33</v>
      </c>
      <c r="M104" t="s">
        <v>25</v>
      </c>
      <c r="N104">
        <v>4</v>
      </c>
    </row>
    <row r="105" spans="1:14" x14ac:dyDescent="0.25">
      <c r="A105">
        <v>104</v>
      </c>
      <c r="B105" s="1" t="s">
        <v>20</v>
      </c>
      <c r="C105">
        <v>10</v>
      </c>
      <c r="D105" s="1" t="s">
        <v>30</v>
      </c>
      <c r="E105" s="1" t="s">
        <v>22</v>
      </c>
      <c r="F105" s="1" t="s">
        <v>28</v>
      </c>
      <c r="G105" s="2">
        <v>44932</v>
      </c>
      <c r="H105">
        <v>14</v>
      </c>
      <c r="I105">
        <v>20412</v>
      </c>
      <c r="J105" s="1" t="s">
        <v>24</v>
      </c>
      <c r="K105">
        <v>2023</v>
      </c>
      <c r="L105" t="s">
        <v>48</v>
      </c>
      <c r="M105" t="s">
        <v>25</v>
      </c>
      <c r="N105">
        <v>1</v>
      </c>
    </row>
    <row r="106" spans="1:14" x14ac:dyDescent="0.25">
      <c r="A106">
        <v>105</v>
      </c>
      <c r="B106" s="1" t="s">
        <v>20</v>
      </c>
      <c r="C106">
        <v>56</v>
      </c>
      <c r="D106" s="1" t="s">
        <v>30</v>
      </c>
      <c r="E106" s="1" t="s">
        <v>15</v>
      </c>
      <c r="F106" s="1" t="s">
        <v>23</v>
      </c>
      <c r="G106" s="2">
        <v>45143</v>
      </c>
      <c r="H106">
        <v>11</v>
      </c>
      <c r="I106">
        <v>49111</v>
      </c>
      <c r="J106" s="1" t="s">
        <v>24</v>
      </c>
      <c r="K106">
        <v>2023</v>
      </c>
      <c r="L106" t="s">
        <v>47</v>
      </c>
      <c r="M106" t="s">
        <v>38</v>
      </c>
      <c r="N106">
        <v>8</v>
      </c>
    </row>
    <row r="107" spans="1:14" x14ac:dyDescent="0.25">
      <c r="A107">
        <v>106</v>
      </c>
      <c r="B107" s="1" t="s">
        <v>20</v>
      </c>
      <c r="C107">
        <v>17</v>
      </c>
      <c r="D107" s="1" t="s">
        <v>37</v>
      </c>
      <c r="E107" s="1" t="s">
        <v>35</v>
      </c>
      <c r="F107" s="1" t="s">
        <v>28</v>
      </c>
      <c r="G107" s="2">
        <v>44996</v>
      </c>
      <c r="H107">
        <v>10</v>
      </c>
      <c r="I107">
        <v>41613</v>
      </c>
      <c r="J107" s="1" t="s">
        <v>24</v>
      </c>
      <c r="K107">
        <v>2023</v>
      </c>
      <c r="L107" t="s">
        <v>43</v>
      </c>
      <c r="M107" t="s">
        <v>25</v>
      </c>
      <c r="N107">
        <v>3</v>
      </c>
    </row>
    <row r="108" spans="1:14" x14ac:dyDescent="0.25">
      <c r="A108">
        <v>107</v>
      </c>
      <c r="B108" s="1" t="s">
        <v>20</v>
      </c>
      <c r="C108">
        <v>74</v>
      </c>
      <c r="D108" s="1" t="s">
        <v>14</v>
      </c>
      <c r="E108" s="1" t="s">
        <v>27</v>
      </c>
      <c r="F108" s="1" t="s">
        <v>28</v>
      </c>
      <c r="G108" s="2">
        <v>45193</v>
      </c>
      <c r="H108">
        <v>3</v>
      </c>
      <c r="I108">
        <v>22142</v>
      </c>
      <c r="J108" s="1" t="s">
        <v>24</v>
      </c>
      <c r="K108">
        <v>2023</v>
      </c>
      <c r="L108" t="s">
        <v>44</v>
      </c>
      <c r="M108" t="s">
        <v>19</v>
      </c>
      <c r="N108">
        <v>9</v>
      </c>
    </row>
    <row r="109" spans="1:14" x14ac:dyDescent="0.25">
      <c r="A109">
        <v>108</v>
      </c>
      <c r="B109" s="1" t="s">
        <v>20</v>
      </c>
      <c r="C109">
        <v>17</v>
      </c>
      <c r="D109" s="1" t="s">
        <v>30</v>
      </c>
      <c r="E109" s="1" t="s">
        <v>15</v>
      </c>
      <c r="F109" s="1" t="s">
        <v>16</v>
      </c>
      <c r="G109" s="2">
        <v>45178</v>
      </c>
      <c r="H109">
        <v>14</v>
      </c>
      <c r="I109">
        <v>39392</v>
      </c>
      <c r="J109" s="1" t="s">
        <v>24</v>
      </c>
      <c r="K109">
        <v>2023</v>
      </c>
      <c r="L109" t="s">
        <v>44</v>
      </c>
      <c r="M109" t="s">
        <v>25</v>
      </c>
      <c r="N109">
        <v>9</v>
      </c>
    </row>
    <row r="110" spans="1:14" x14ac:dyDescent="0.25">
      <c r="A110">
        <v>109</v>
      </c>
      <c r="B110" s="1" t="s">
        <v>20</v>
      </c>
      <c r="C110">
        <v>84</v>
      </c>
      <c r="D110" s="1" t="s">
        <v>37</v>
      </c>
      <c r="E110" s="1" t="s">
        <v>31</v>
      </c>
      <c r="F110" s="1" t="s">
        <v>23</v>
      </c>
      <c r="G110" s="2">
        <v>45016</v>
      </c>
      <c r="H110">
        <v>10</v>
      </c>
      <c r="I110">
        <v>10848</v>
      </c>
      <c r="J110" s="1" t="s">
        <v>39</v>
      </c>
      <c r="K110">
        <v>2023</v>
      </c>
      <c r="L110" t="s">
        <v>43</v>
      </c>
      <c r="M110" t="s">
        <v>19</v>
      </c>
      <c r="N110">
        <v>3</v>
      </c>
    </row>
    <row r="111" spans="1:14" x14ac:dyDescent="0.25">
      <c r="A111">
        <v>110</v>
      </c>
      <c r="B111" s="1" t="s">
        <v>13</v>
      </c>
      <c r="C111">
        <v>88</v>
      </c>
      <c r="D111" s="1" t="s">
        <v>34</v>
      </c>
      <c r="E111" s="1" t="s">
        <v>27</v>
      </c>
      <c r="F111" s="1" t="s">
        <v>28</v>
      </c>
      <c r="G111" s="2">
        <v>44964</v>
      </c>
      <c r="H111">
        <v>10</v>
      </c>
      <c r="I111">
        <v>15136</v>
      </c>
      <c r="J111" s="1" t="s">
        <v>24</v>
      </c>
      <c r="K111">
        <v>2023</v>
      </c>
      <c r="L111" t="s">
        <v>46</v>
      </c>
      <c r="M111" t="s">
        <v>19</v>
      </c>
      <c r="N111">
        <v>2</v>
      </c>
    </row>
    <row r="112" spans="1:14" x14ac:dyDescent="0.25">
      <c r="A112">
        <v>111</v>
      </c>
      <c r="B112" s="1" t="s">
        <v>20</v>
      </c>
      <c r="C112">
        <v>69</v>
      </c>
      <c r="D112" s="1" t="s">
        <v>45</v>
      </c>
      <c r="E112" s="1" t="s">
        <v>35</v>
      </c>
      <c r="F112" s="1" t="s">
        <v>23</v>
      </c>
      <c r="G112" s="2">
        <v>45106</v>
      </c>
      <c r="H112">
        <v>12</v>
      </c>
      <c r="I112">
        <v>2589</v>
      </c>
      <c r="J112" s="1" t="s">
        <v>24</v>
      </c>
      <c r="K112">
        <v>2023</v>
      </c>
      <c r="L112" t="s">
        <v>40</v>
      </c>
      <c r="M112" t="s">
        <v>19</v>
      </c>
      <c r="N112">
        <v>6</v>
      </c>
    </row>
    <row r="113" spans="1:14" x14ac:dyDescent="0.25">
      <c r="A113">
        <v>112</v>
      </c>
      <c r="B113" s="1" t="s">
        <v>13</v>
      </c>
      <c r="C113">
        <v>34</v>
      </c>
      <c r="D113" s="1" t="s">
        <v>14</v>
      </c>
      <c r="E113" s="1" t="s">
        <v>35</v>
      </c>
      <c r="F113" s="1" t="s">
        <v>16</v>
      </c>
      <c r="G113" s="2">
        <v>45172</v>
      </c>
      <c r="H113">
        <v>3</v>
      </c>
      <c r="I113">
        <v>22908</v>
      </c>
      <c r="J113" s="1" t="s">
        <v>24</v>
      </c>
      <c r="K113">
        <v>2023</v>
      </c>
      <c r="L113" t="s">
        <v>44</v>
      </c>
      <c r="M113" t="s">
        <v>29</v>
      </c>
      <c r="N113">
        <v>9</v>
      </c>
    </row>
    <row r="114" spans="1:14" x14ac:dyDescent="0.25">
      <c r="A114">
        <v>113</v>
      </c>
      <c r="B114" s="1" t="s">
        <v>20</v>
      </c>
      <c r="C114">
        <v>6</v>
      </c>
      <c r="D114" s="1" t="s">
        <v>45</v>
      </c>
      <c r="E114" s="1" t="s">
        <v>22</v>
      </c>
      <c r="F114" s="1" t="s">
        <v>28</v>
      </c>
      <c r="G114" s="2">
        <v>45140</v>
      </c>
      <c r="H114">
        <v>4</v>
      </c>
      <c r="I114">
        <v>8509</v>
      </c>
      <c r="J114" s="1" t="s">
        <v>24</v>
      </c>
      <c r="K114">
        <v>2023</v>
      </c>
      <c r="L114" t="s">
        <v>47</v>
      </c>
      <c r="M114" t="s">
        <v>25</v>
      </c>
      <c r="N114">
        <v>8</v>
      </c>
    </row>
    <row r="115" spans="1:14" x14ac:dyDescent="0.25">
      <c r="A115">
        <v>114</v>
      </c>
      <c r="B115" s="1" t="s">
        <v>20</v>
      </c>
      <c r="C115">
        <v>53</v>
      </c>
      <c r="D115" s="1" t="s">
        <v>14</v>
      </c>
      <c r="E115" s="1" t="s">
        <v>27</v>
      </c>
      <c r="F115" s="1" t="s">
        <v>16</v>
      </c>
      <c r="G115" s="2">
        <v>45120</v>
      </c>
      <c r="H115">
        <v>2</v>
      </c>
      <c r="I115">
        <v>42461</v>
      </c>
      <c r="J115" s="1" t="s">
        <v>24</v>
      </c>
      <c r="K115">
        <v>2023</v>
      </c>
      <c r="L115" t="s">
        <v>36</v>
      </c>
      <c r="M115" t="s">
        <v>38</v>
      </c>
      <c r="N115">
        <v>7</v>
      </c>
    </row>
    <row r="116" spans="1:14" x14ac:dyDescent="0.25">
      <c r="A116">
        <v>115</v>
      </c>
      <c r="B116" s="1" t="s">
        <v>13</v>
      </c>
      <c r="C116">
        <v>66</v>
      </c>
      <c r="D116" s="1" t="s">
        <v>45</v>
      </c>
      <c r="E116" s="1" t="s">
        <v>22</v>
      </c>
      <c r="F116" s="1" t="s">
        <v>23</v>
      </c>
      <c r="G116" s="2">
        <v>45219</v>
      </c>
      <c r="H116">
        <v>9</v>
      </c>
      <c r="I116">
        <v>44222</v>
      </c>
      <c r="J116" s="1" t="s">
        <v>39</v>
      </c>
      <c r="K116">
        <v>2023</v>
      </c>
      <c r="L116" t="s">
        <v>41</v>
      </c>
      <c r="M116" t="s">
        <v>19</v>
      </c>
      <c r="N116">
        <v>10</v>
      </c>
    </row>
    <row r="117" spans="1:14" x14ac:dyDescent="0.25">
      <c r="A117">
        <v>116</v>
      </c>
      <c r="B117" s="1" t="s">
        <v>20</v>
      </c>
      <c r="C117">
        <v>77</v>
      </c>
      <c r="D117" s="1" t="s">
        <v>14</v>
      </c>
      <c r="E117" s="1" t="s">
        <v>15</v>
      </c>
      <c r="F117" s="1" t="s">
        <v>23</v>
      </c>
      <c r="G117" s="2">
        <v>45084</v>
      </c>
      <c r="H117">
        <v>10</v>
      </c>
      <c r="I117">
        <v>46476</v>
      </c>
      <c r="J117" s="1" t="s">
        <v>24</v>
      </c>
      <c r="K117">
        <v>2023</v>
      </c>
      <c r="L117" t="s">
        <v>40</v>
      </c>
      <c r="M117" t="s">
        <v>19</v>
      </c>
      <c r="N117">
        <v>6</v>
      </c>
    </row>
    <row r="118" spans="1:14" x14ac:dyDescent="0.25">
      <c r="A118">
        <v>117</v>
      </c>
      <c r="B118" s="1" t="s">
        <v>13</v>
      </c>
      <c r="C118">
        <v>43</v>
      </c>
      <c r="D118" s="1" t="s">
        <v>45</v>
      </c>
      <c r="E118" s="1" t="s">
        <v>27</v>
      </c>
      <c r="F118" s="1" t="s">
        <v>16</v>
      </c>
      <c r="G118" s="2">
        <v>45228</v>
      </c>
      <c r="H118">
        <v>12</v>
      </c>
      <c r="I118">
        <v>47710</v>
      </c>
      <c r="J118" s="1" t="s">
        <v>39</v>
      </c>
      <c r="K118">
        <v>2023</v>
      </c>
      <c r="L118" t="s">
        <v>41</v>
      </c>
      <c r="M118" t="s">
        <v>38</v>
      </c>
      <c r="N118">
        <v>10</v>
      </c>
    </row>
    <row r="119" spans="1:14" x14ac:dyDescent="0.25">
      <c r="A119">
        <v>118</v>
      </c>
      <c r="B119" s="1" t="s">
        <v>20</v>
      </c>
      <c r="C119">
        <v>75</v>
      </c>
      <c r="D119" s="1" t="s">
        <v>45</v>
      </c>
      <c r="E119" s="1" t="s">
        <v>15</v>
      </c>
      <c r="F119" s="1" t="s">
        <v>32</v>
      </c>
      <c r="G119" s="2">
        <v>44972</v>
      </c>
      <c r="H119">
        <v>11</v>
      </c>
      <c r="I119">
        <v>11968</v>
      </c>
      <c r="J119" s="1" t="s">
        <v>39</v>
      </c>
      <c r="K119">
        <v>2023</v>
      </c>
      <c r="L119" t="s">
        <v>46</v>
      </c>
      <c r="M119" t="s">
        <v>19</v>
      </c>
      <c r="N119">
        <v>2</v>
      </c>
    </row>
    <row r="120" spans="1:14" x14ac:dyDescent="0.25">
      <c r="A120">
        <v>119</v>
      </c>
      <c r="B120" s="1" t="s">
        <v>20</v>
      </c>
      <c r="C120">
        <v>23</v>
      </c>
      <c r="D120" s="1" t="s">
        <v>45</v>
      </c>
      <c r="E120" s="1" t="s">
        <v>22</v>
      </c>
      <c r="F120" s="1" t="s">
        <v>28</v>
      </c>
      <c r="G120" s="2">
        <v>45068</v>
      </c>
      <c r="H120">
        <v>14</v>
      </c>
      <c r="I120">
        <v>4462</v>
      </c>
      <c r="J120" s="1" t="s">
        <v>39</v>
      </c>
      <c r="K120">
        <v>2023</v>
      </c>
      <c r="L120" t="s">
        <v>42</v>
      </c>
      <c r="M120" t="s">
        <v>29</v>
      </c>
      <c r="N120">
        <v>5</v>
      </c>
    </row>
    <row r="121" spans="1:14" x14ac:dyDescent="0.25">
      <c r="A121">
        <v>120</v>
      </c>
      <c r="B121" s="1" t="s">
        <v>13</v>
      </c>
      <c r="C121">
        <v>55</v>
      </c>
      <c r="D121" s="1" t="s">
        <v>45</v>
      </c>
      <c r="E121" s="1" t="s">
        <v>27</v>
      </c>
      <c r="F121" s="1" t="s">
        <v>23</v>
      </c>
      <c r="G121" s="2">
        <v>45057</v>
      </c>
      <c r="H121">
        <v>7</v>
      </c>
      <c r="I121">
        <v>11460</v>
      </c>
      <c r="J121" s="1" t="s">
        <v>24</v>
      </c>
      <c r="K121">
        <v>2023</v>
      </c>
      <c r="L121" t="s">
        <v>42</v>
      </c>
      <c r="M121" t="s">
        <v>38</v>
      </c>
      <c r="N121">
        <v>5</v>
      </c>
    </row>
    <row r="122" spans="1:14" x14ac:dyDescent="0.25">
      <c r="A122">
        <v>121</v>
      </c>
      <c r="B122" s="1" t="s">
        <v>20</v>
      </c>
      <c r="C122">
        <v>80</v>
      </c>
      <c r="D122" s="1" t="s">
        <v>34</v>
      </c>
      <c r="E122" s="1" t="s">
        <v>22</v>
      </c>
      <c r="F122" s="1" t="s">
        <v>23</v>
      </c>
      <c r="G122" s="2">
        <v>45275</v>
      </c>
      <c r="H122">
        <v>7</v>
      </c>
      <c r="I122">
        <v>35783</v>
      </c>
      <c r="J122" s="1" t="s">
        <v>24</v>
      </c>
      <c r="K122">
        <v>2023</v>
      </c>
      <c r="L122" t="s">
        <v>26</v>
      </c>
      <c r="M122" t="s">
        <v>19</v>
      </c>
      <c r="N122">
        <v>12</v>
      </c>
    </row>
    <row r="123" spans="1:14" x14ac:dyDescent="0.25">
      <c r="A123">
        <v>122</v>
      </c>
      <c r="B123" s="1" t="s">
        <v>13</v>
      </c>
      <c r="C123">
        <v>75</v>
      </c>
      <c r="D123" s="1" t="s">
        <v>30</v>
      </c>
      <c r="E123" s="1" t="s">
        <v>27</v>
      </c>
      <c r="F123" s="1" t="s">
        <v>28</v>
      </c>
      <c r="G123" s="2">
        <v>45113</v>
      </c>
      <c r="H123">
        <v>6</v>
      </c>
      <c r="I123">
        <v>11275</v>
      </c>
      <c r="J123" s="1" t="s">
        <v>24</v>
      </c>
      <c r="K123">
        <v>2023</v>
      </c>
      <c r="L123" t="s">
        <v>36</v>
      </c>
      <c r="M123" t="s">
        <v>19</v>
      </c>
      <c r="N123">
        <v>7</v>
      </c>
    </row>
    <row r="124" spans="1:14" x14ac:dyDescent="0.25">
      <c r="A124">
        <v>123</v>
      </c>
      <c r="B124" s="1" t="s">
        <v>20</v>
      </c>
      <c r="C124">
        <v>16</v>
      </c>
      <c r="D124" s="1" t="s">
        <v>21</v>
      </c>
      <c r="E124" s="1" t="s">
        <v>22</v>
      </c>
      <c r="F124" s="1" t="s">
        <v>16</v>
      </c>
      <c r="G124" s="2">
        <v>45180</v>
      </c>
      <c r="H124">
        <v>3</v>
      </c>
      <c r="I124">
        <v>30677</v>
      </c>
      <c r="J124" s="1" t="s">
        <v>24</v>
      </c>
      <c r="K124">
        <v>2023</v>
      </c>
      <c r="L124" t="s">
        <v>44</v>
      </c>
      <c r="M124" t="s">
        <v>25</v>
      </c>
      <c r="N124">
        <v>9</v>
      </c>
    </row>
    <row r="125" spans="1:14" x14ac:dyDescent="0.25">
      <c r="A125">
        <v>124</v>
      </c>
      <c r="B125" s="1" t="s">
        <v>13</v>
      </c>
      <c r="C125">
        <v>8</v>
      </c>
      <c r="D125" s="1" t="s">
        <v>37</v>
      </c>
      <c r="E125" s="1" t="s">
        <v>35</v>
      </c>
      <c r="F125" s="1" t="s">
        <v>16</v>
      </c>
      <c r="G125" s="2">
        <v>45148</v>
      </c>
      <c r="H125">
        <v>6</v>
      </c>
      <c r="I125">
        <v>15269</v>
      </c>
      <c r="J125" s="1" t="s">
        <v>24</v>
      </c>
      <c r="K125">
        <v>2023</v>
      </c>
      <c r="L125" t="s">
        <v>47</v>
      </c>
      <c r="M125" t="s">
        <v>25</v>
      </c>
      <c r="N125">
        <v>8</v>
      </c>
    </row>
    <row r="126" spans="1:14" x14ac:dyDescent="0.25">
      <c r="A126">
        <v>125</v>
      </c>
      <c r="B126" s="1" t="s">
        <v>13</v>
      </c>
      <c r="C126">
        <v>4</v>
      </c>
      <c r="D126" s="1" t="s">
        <v>21</v>
      </c>
      <c r="E126" s="1" t="s">
        <v>22</v>
      </c>
      <c r="F126" s="1" t="s">
        <v>16</v>
      </c>
      <c r="G126" s="2">
        <v>44947</v>
      </c>
      <c r="H126">
        <v>14</v>
      </c>
      <c r="I126">
        <v>2406</v>
      </c>
      <c r="J126" s="1" t="s">
        <v>39</v>
      </c>
      <c r="K126">
        <v>2023</v>
      </c>
      <c r="L126" t="s">
        <v>48</v>
      </c>
      <c r="M126" t="s">
        <v>25</v>
      </c>
      <c r="N126">
        <v>1</v>
      </c>
    </row>
    <row r="127" spans="1:14" x14ac:dyDescent="0.25">
      <c r="A127">
        <v>126</v>
      </c>
      <c r="B127" s="1" t="s">
        <v>20</v>
      </c>
      <c r="C127">
        <v>4</v>
      </c>
      <c r="D127" s="1" t="s">
        <v>21</v>
      </c>
      <c r="E127" s="1" t="s">
        <v>35</v>
      </c>
      <c r="F127" s="1" t="s">
        <v>32</v>
      </c>
      <c r="G127" s="2">
        <v>45072</v>
      </c>
      <c r="H127">
        <v>12</v>
      </c>
      <c r="I127">
        <v>9384</v>
      </c>
      <c r="J127" s="1" t="s">
        <v>24</v>
      </c>
      <c r="K127">
        <v>2023</v>
      </c>
      <c r="L127" t="s">
        <v>42</v>
      </c>
      <c r="M127" t="s">
        <v>25</v>
      </c>
      <c r="N127">
        <v>5</v>
      </c>
    </row>
    <row r="128" spans="1:14" x14ac:dyDescent="0.25">
      <c r="A128">
        <v>127</v>
      </c>
      <c r="B128" s="1" t="s">
        <v>20</v>
      </c>
      <c r="C128">
        <v>56</v>
      </c>
      <c r="D128" s="1" t="s">
        <v>14</v>
      </c>
      <c r="E128" s="1" t="s">
        <v>22</v>
      </c>
      <c r="F128" s="1" t="s">
        <v>32</v>
      </c>
      <c r="G128" s="2">
        <v>45290</v>
      </c>
      <c r="H128">
        <v>8</v>
      </c>
      <c r="I128">
        <v>24553</v>
      </c>
      <c r="J128" s="1" t="s">
        <v>24</v>
      </c>
      <c r="K128">
        <v>2023</v>
      </c>
      <c r="L128" t="s">
        <v>26</v>
      </c>
      <c r="M128" t="s">
        <v>38</v>
      </c>
      <c r="N128">
        <v>12</v>
      </c>
    </row>
    <row r="129" spans="1:14" x14ac:dyDescent="0.25">
      <c r="A129">
        <v>128</v>
      </c>
      <c r="B129" s="1" t="s">
        <v>13</v>
      </c>
      <c r="C129">
        <v>25</v>
      </c>
      <c r="D129" s="1" t="s">
        <v>30</v>
      </c>
      <c r="E129" s="1" t="s">
        <v>27</v>
      </c>
      <c r="F129" s="1" t="s">
        <v>23</v>
      </c>
      <c r="G129" s="2">
        <v>45029</v>
      </c>
      <c r="H129">
        <v>8</v>
      </c>
      <c r="I129">
        <v>26366</v>
      </c>
      <c r="J129" s="1" t="s">
        <v>24</v>
      </c>
      <c r="K129">
        <v>2023</v>
      </c>
      <c r="L129" t="s">
        <v>33</v>
      </c>
      <c r="M129" t="s">
        <v>29</v>
      </c>
      <c r="N129">
        <v>4</v>
      </c>
    </row>
    <row r="130" spans="1:14" x14ac:dyDescent="0.25">
      <c r="A130">
        <v>129</v>
      </c>
      <c r="B130" s="1" t="s">
        <v>20</v>
      </c>
      <c r="C130">
        <v>67</v>
      </c>
      <c r="D130" s="1" t="s">
        <v>14</v>
      </c>
      <c r="E130" s="1" t="s">
        <v>27</v>
      </c>
      <c r="F130" s="1" t="s">
        <v>16</v>
      </c>
      <c r="G130" s="2">
        <v>45007</v>
      </c>
      <c r="H130">
        <v>11</v>
      </c>
      <c r="I130">
        <v>46036</v>
      </c>
      <c r="J130" s="1" t="s">
        <v>24</v>
      </c>
      <c r="K130">
        <v>2023</v>
      </c>
      <c r="L130" t="s">
        <v>43</v>
      </c>
      <c r="M130" t="s">
        <v>19</v>
      </c>
      <c r="N130">
        <v>3</v>
      </c>
    </row>
    <row r="131" spans="1:14" x14ac:dyDescent="0.25">
      <c r="A131">
        <v>130</v>
      </c>
      <c r="B131" s="1" t="s">
        <v>20</v>
      </c>
      <c r="C131">
        <v>67</v>
      </c>
      <c r="D131" s="1" t="s">
        <v>30</v>
      </c>
      <c r="E131" s="1" t="s">
        <v>27</v>
      </c>
      <c r="F131" s="1" t="s">
        <v>28</v>
      </c>
      <c r="G131" s="2">
        <v>45124</v>
      </c>
      <c r="H131">
        <v>13</v>
      </c>
      <c r="I131">
        <v>19369</v>
      </c>
      <c r="J131" s="1" t="s">
        <v>24</v>
      </c>
      <c r="K131">
        <v>2023</v>
      </c>
      <c r="L131" t="s">
        <v>36</v>
      </c>
      <c r="M131" t="s">
        <v>19</v>
      </c>
      <c r="N131">
        <v>7</v>
      </c>
    </row>
    <row r="132" spans="1:14" x14ac:dyDescent="0.25">
      <c r="A132">
        <v>131</v>
      </c>
      <c r="B132" s="1" t="s">
        <v>20</v>
      </c>
      <c r="C132">
        <v>27</v>
      </c>
      <c r="D132" s="1" t="s">
        <v>30</v>
      </c>
      <c r="E132" s="1" t="s">
        <v>31</v>
      </c>
      <c r="F132" s="1" t="s">
        <v>23</v>
      </c>
      <c r="G132" s="2">
        <v>45247</v>
      </c>
      <c r="H132">
        <v>9</v>
      </c>
      <c r="I132">
        <v>13795</v>
      </c>
      <c r="J132" s="1" t="s">
        <v>39</v>
      </c>
      <c r="K132">
        <v>2023</v>
      </c>
      <c r="L132" t="s">
        <v>18</v>
      </c>
      <c r="M132" t="s">
        <v>29</v>
      </c>
      <c r="N132">
        <v>11</v>
      </c>
    </row>
    <row r="133" spans="1:14" x14ac:dyDescent="0.25">
      <c r="A133">
        <v>132</v>
      </c>
      <c r="B133" s="1" t="s">
        <v>13</v>
      </c>
      <c r="C133">
        <v>32</v>
      </c>
      <c r="D133" s="1" t="s">
        <v>45</v>
      </c>
      <c r="E133" s="1" t="s">
        <v>15</v>
      </c>
      <c r="F133" s="1" t="s">
        <v>28</v>
      </c>
      <c r="G133" s="2">
        <v>45156</v>
      </c>
      <c r="H133">
        <v>1</v>
      </c>
      <c r="I133">
        <v>6485</v>
      </c>
      <c r="J133" s="1" t="s">
        <v>24</v>
      </c>
      <c r="K133">
        <v>2023</v>
      </c>
      <c r="L133" t="s">
        <v>47</v>
      </c>
      <c r="M133" t="s">
        <v>29</v>
      </c>
      <c r="N133">
        <v>8</v>
      </c>
    </row>
    <row r="134" spans="1:14" x14ac:dyDescent="0.25">
      <c r="A134">
        <v>133</v>
      </c>
      <c r="B134" s="1" t="s">
        <v>13</v>
      </c>
      <c r="C134">
        <v>50</v>
      </c>
      <c r="D134" s="1" t="s">
        <v>34</v>
      </c>
      <c r="E134" s="1" t="s">
        <v>27</v>
      </c>
      <c r="F134" s="1" t="s">
        <v>23</v>
      </c>
      <c r="G134" s="2">
        <v>45013</v>
      </c>
      <c r="H134">
        <v>14</v>
      </c>
      <c r="I134">
        <v>43669</v>
      </c>
      <c r="J134" s="1" t="s">
        <v>39</v>
      </c>
      <c r="K134">
        <v>2023</v>
      </c>
      <c r="L134" t="s">
        <v>43</v>
      </c>
      <c r="M134" t="s">
        <v>38</v>
      </c>
      <c r="N134">
        <v>3</v>
      </c>
    </row>
    <row r="135" spans="1:14" x14ac:dyDescent="0.25">
      <c r="A135">
        <v>134</v>
      </c>
      <c r="B135" s="1" t="s">
        <v>13</v>
      </c>
      <c r="C135">
        <v>61</v>
      </c>
      <c r="D135" s="1" t="s">
        <v>45</v>
      </c>
      <c r="E135" s="1" t="s">
        <v>35</v>
      </c>
      <c r="F135" s="1" t="s">
        <v>32</v>
      </c>
      <c r="G135" s="2">
        <v>45075</v>
      </c>
      <c r="H135">
        <v>1</v>
      </c>
      <c r="I135">
        <v>4618</v>
      </c>
      <c r="J135" s="1" t="s">
        <v>39</v>
      </c>
      <c r="K135">
        <v>2023</v>
      </c>
      <c r="L135" t="s">
        <v>42</v>
      </c>
      <c r="M135" t="s">
        <v>19</v>
      </c>
      <c r="N135">
        <v>5</v>
      </c>
    </row>
    <row r="136" spans="1:14" x14ac:dyDescent="0.25">
      <c r="A136">
        <v>135</v>
      </c>
      <c r="B136" s="1" t="s">
        <v>13</v>
      </c>
      <c r="C136">
        <v>51</v>
      </c>
      <c r="D136" s="1" t="s">
        <v>34</v>
      </c>
      <c r="E136" s="1" t="s">
        <v>27</v>
      </c>
      <c r="F136" s="1" t="s">
        <v>23</v>
      </c>
      <c r="G136" s="2">
        <v>45180</v>
      </c>
      <c r="H136">
        <v>3</v>
      </c>
      <c r="I136">
        <v>32143</v>
      </c>
      <c r="J136" s="1" t="s">
        <v>39</v>
      </c>
      <c r="K136">
        <v>2023</v>
      </c>
      <c r="L136" t="s">
        <v>44</v>
      </c>
      <c r="M136" t="s">
        <v>38</v>
      </c>
      <c r="N136">
        <v>9</v>
      </c>
    </row>
    <row r="137" spans="1:14" x14ac:dyDescent="0.25">
      <c r="A137">
        <v>136</v>
      </c>
      <c r="B137" s="1" t="s">
        <v>13</v>
      </c>
      <c r="C137">
        <v>19</v>
      </c>
      <c r="D137" s="1" t="s">
        <v>14</v>
      </c>
      <c r="E137" s="1" t="s">
        <v>31</v>
      </c>
      <c r="F137" s="1" t="s">
        <v>32</v>
      </c>
      <c r="G137" s="2">
        <v>45017</v>
      </c>
      <c r="H137">
        <v>3</v>
      </c>
      <c r="I137">
        <v>31425</v>
      </c>
      <c r="J137" s="1" t="s">
        <v>24</v>
      </c>
      <c r="K137">
        <v>2023</v>
      </c>
      <c r="L137" t="s">
        <v>33</v>
      </c>
      <c r="M137" t="s">
        <v>29</v>
      </c>
      <c r="N137">
        <v>4</v>
      </c>
    </row>
    <row r="138" spans="1:14" x14ac:dyDescent="0.25">
      <c r="A138">
        <v>137</v>
      </c>
      <c r="B138" s="1" t="s">
        <v>13</v>
      </c>
      <c r="C138">
        <v>21</v>
      </c>
      <c r="D138" s="1" t="s">
        <v>34</v>
      </c>
      <c r="E138" s="1" t="s">
        <v>35</v>
      </c>
      <c r="F138" s="1" t="s">
        <v>23</v>
      </c>
      <c r="G138" s="2">
        <v>45092</v>
      </c>
      <c r="H138">
        <v>10</v>
      </c>
      <c r="I138">
        <v>24673</v>
      </c>
      <c r="J138" s="1" t="s">
        <v>39</v>
      </c>
      <c r="K138">
        <v>2023</v>
      </c>
      <c r="L138" t="s">
        <v>40</v>
      </c>
      <c r="M138" t="s">
        <v>29</v>
      </c>
      <c r="N138">
        <v>6</v>
      </c>
    </row>
    <row r="139" spans="1:14" x14ac:dyDescent="0.25">
      <c r="A139">
        <v>138</v>
      </c>
      <c r="B139" s="1" t="s">
        <v>13</v>
      </c>
      <c r="C139">
        <v>5</v>
      </c>
      <c r="D139" s="1" t="s">
        <v>14</v>
      </c>
      <c r="E139" s="1" t="s">
        <v>31</v>
      </c>
      <c r="F139" s="1" t="s">
        <v>16</v>
      </c>
      <c r="G139" s="2">
        <v>45065</v>
      </c>
      <c r="H139">
        <v>8</v>
      </c>
      <c r="I139">
        <v>11603</v>
      </c>
      <c r="J139" s="1" t="s">
        <v>24</v>
      </c>
      <c r="K139">
        <v>2023</v>
      </c>
      <c r="L139" t="s">
        <v>42</v>
      </c>
      <c r="M139" t="s">
        <v>25</v>
      </c>
      <c r="N139">
        <v>5</v>
      </c>
    </row>
    <row r="140" spans="1:14" x14ac:dyDescent="0.25">
      <c r="A140">
        <v>139</v>
      </c>
      <c r="B140" s="1" t="s">
        <v>13</v>
      </c>
      <c r="C140">
        <v>82</v>
      </c>
      <c r="D140" s="1" t="s">
        <v>21</v>
      </c>
      <c r="E140" s="1" t="s">
        <v>35</v>
      </c>
      <c r="F140" s="1" t="s">
        <v>28</v>
      </c>
      <c r="G140" s="2">
        <v>45222</v>
      </c>
      <c r="H140">
        <v>10</v>
      </c>
      <c r="I140">
        <v>41696</v>
      </c>
      <c r="J140" s="1" t="s">
        <v>24</v>
      </c>
      <c r="K140">
        <v>2023</v>
      </c>
      <c r="L140" t="s">
        <v>41</v>
      </c>
      <c r="M140" t="s">
        <v>19</v>
      </c>
      <c r="N140">
        <v>10</v>
      </c>
    </row>
    <row r="141" spans="1:14" x14ac:dyDescent="0.25">
      <c r="A141">
        <v>140</v>
      </c>
      <c r="B141" s="1" t="s">
        <v>13</v>
      </c>
      <c r="C141">
        <v>42</v>
      </c>
      <c r="D141" s="1" t="s">
        <v>21</v>
      </c>
      <c r="E141" s="1" t="s">
        <v>22</v>
      </c>
      <c r="F141" s="1" t="s">
        <v>16</v>
      </c>
      <c r="G141" s="2">
        <v>45094</v>
      </c>
      <c r="H141">
        <v>1</v>
      </c>
      <c r="I141">
        <v>7368</v>
      </c>
      <c r="J141" s="1" t="s">
        <v>24</v>
      </c>
      <c r="K141">
        <v>2023</v>
      </c>
      <c r="L141" t="s">
        <v>40</v>
      </c>
      <c r="M141" t="s">
        <v>38</v>
      </c>
      <c r="N141">
        <v>6</v>
      </c>
    </row>
    <row r="142" spans="1:14" x14ac:dyDescent="0.25">
      <c r="A142">
        <v>141</v>
      </c>
      <c r="B142" s="1" t="s">
        <v>20</v>
      </c>
      <c r="C142">
        <v>61</v>
      </c>
      <c r="D142" s="1" t="s">
        <v>34</v>
      </c>
      <c r="E142" s="1" t="s">
        <v>15</v>
      </c>
      <c r="F142" s="1" t="s">
        <v>23</v>
      </c>
      <c r="G142" s="2">
        <v>45098</v>
      </c>
      <c r="H142">
        <v>13</v>
      </c>
      <c r="I142">
        <v>6621</v>
      </c>
      <c r="J142" s="1" t="s">
        <v>24</v>
      </c>
      <c r="K142">
        <v>2023</v>
      </c>
      <c r="L142" t="s">
        <v>40</v>
      </c>
      <c r="M142" t="s">
        <v>19</v>
      </c>
      <c r="N142">
        <v>6</v>
      </c>
    </row>
    <row r="143" spans="1:14" x14ac:dyDescent="0.25">
      <c r="A143">
        <v>142</v>
      </c>
      <c r="B143" s="1" t="s">
        <v>13</v>
      </c>
      <c r="C143">
        <v>22</v>
      </c>
      <c r="D143" s="1" t="s">
        <v>34</v>
      </c>
      <c r="E143" s="1" t="s">
        <v>15</v>
      </c>
      <c r="F143" s="1" t="s">
        <v>23</v>
      </c>
      <c r="G143" s="2">
        <v>45136</v>
      </c>
      <c r="H143">
        <v>2</v>
      </c>
      <c r="I143">
        <v>16719</v>
      </c>
      <c r="J143" s="1" t="s">
        <v>24</v>
      </c>
      <c r="K143">
        <v>2023</v>
      </c>
      <c r="L143" t="s">
        <v>36</v>
      </c>
      <c r="M143" t="s">
        <v>29</v>
      </c>
      <c r="N143">
        <v>7</v>
      </c>
    </row>
    <row r="144" spans="1:14" x14ac:dyDescent="0.25">
      <c r="A144">
        <v>143</v>
      </c>
      <c r="B144" s="1" t="s">
        <v>20</v>
      </c>
      <c r="C144">
        <v>21</v>
      </c>
      <c r="D144" s="1" t="s">
        <v>14</v>
      </c>
      <c r="E144" s="1" t="s">
        <v>31</v>
      </c>
      <c r="F144" s="1" t="s">
        <v>23</v>
      </c>
      <c r="G144" s="2">
        <v>45095</v>
      </c>
      <c r="H144">
        <v>2</v>
      </c>
      <c r="I144">
        <v>31227</v>
      </c>
      <c r="J144" s="1" t="s">
        <v>24</v>
      </c>
      <c r="K144">
        <v>2023</v>
      </c>
      <c r="L144" t="s">
        <v>40</v>
      </c>
      <c r="M144" t="s">
        <v>29</v>
      </c>
      <c r="N144">
        <v>6</v>
      </c>
    </row>
    <row r="145" spans="1:14" x14ac:dyDescent="0.25">
      <c r="A145">
        <v>144</v>
      </c>
      <c r="B145" s="1" t="s">
        <v>20</v>
      </c>
      <c r="C145">
        <v>70</v>
      </c>
      <c r="D145" s="1" t="s">
        <v>45</v>
      </c>
      <c r="E145" s="1" t="s">
        <v>15</v>
      </c>
      <c r="F145" s="1" t="s">
        <v>32</v>
      </c>
      <c r="G145" s="2">
        <v>45138</v>
      </c>
      <c r="H145">
        <v>3</v>
      </c>
      <c r="I145">
        <v>45894</v>
      </c>
      <c r="J145" s="1" t="s">
        <v>24</v>
      </c>
      <c r="K145">
        <v>2023</v>
      </c>
      <c r="L145" t="s">
        <v>36</v>
      </c>
      <c r="M145" t="s">
        <v>19</v>
      </c>
      <c r="N145">
        <v>7</v>
      </c>
    </row>
    <row r="146" spans="1:14" x14ac:dyDescent="0.25">
      <c r="A146">
        <v>145</v>
      </c>
      <c r="B146" s="1" t="s">
        <v>20</v>
      </c>
      <c r="C146">
        <v>1</v>
      </c>
      <c r="D146" s="1" t="s">
        <v>14</v>
      </c>
      <c r="E146" s="1" t="s">
        <v>31</v>
      </c>
      <c r="F146" s="1" t="s">
        <v>28</v>
      </c>
      <c r="G146" s="2">
        <v>45092</v>
      </c>
      <c r="H146">
        <v>13</v>
      </c>
      <c r="I146">
        <v>9566</v>
      </c>
      <c r="J146" s="1" t="s">
        <v>17</v>
      </c>
      <c r="K146">
        <v>2023</v>
      </c>
      <c r="L146" t="s">
        <v>40</v>
      </c>
      <c r="M146" t="s">
        <v>25</v>
      </c>
      <c r="N146">
        <v>6</v>
      </c>
    </row>
    <row r="147" spans="1:14" x14ac:dyDescent="0.25">
      <c r="A147">
        <v>146</v>
      </c>
      <c r="B147" s="1" t="s">
        <v>13</v>
      </c>
      <c r="C147">
        <v>5</v>
      </c>
      <c r="D147" s="1" t="s">
        <v>45</v>
      </c>
      <c r="E147" s="1" t="s">
        <v>31</v>
      </c>
      <c r="F147" s="1" t="s">
        <v>28</v>
      </c>
      <c r="G147" s="2">
        <v>45276</v>
      </c>
      <c r="H147">
        <v>6</v>
      </c>
      <c r="I147">
        <v>14306</v>
      </c>
      <c r="J147" s="1" t="s">
        <v>24</v>
      </c>
      <c r="K147">
        <v>2023</v>
      </c>
      <c r="L147" t="s">
        <v>26</v>
      </c>
      <c r="M147" t="s">
        <v>25</v>
      </c>
      <c r="N147">
        <v>12</v>
      </c>
    </row>
    <row r="148" spans="1:14" x14ac:dyDescent="0.25">
      <c r="A148">
        <v>147</v>
      </c>
      <c r="B148" s="1" t="s">
        <v>13</v>
      </c>
      <c r="C148">
        <v>12</v>
      </c>
      <c r="D148" s="1" t="s">
        <v>21</v>
      </c>
      <c r="E148" s="1" t="s">
        <v>31</v>
      </c>
      <c r="F148" s="1" t="s">
        <v>23</v>
      </c>
      <c r="G148" s="2">
        <v>44985</v>
      </c>
      <c r="H148">
        <v>1</v>
      </c>
      <c r="I148">
        <v>26042</v>
      </c>
      <c r="J148" s="1" t="s">
        <v>24</v>
      </c>
      <c r="K148">
        <v>2023</v>
      </c>
      <c r="L148" t="s">
        <v>46</v>
      </c>
      <c r="M148" t="s">
        <v>25</v>
      </c>
      <c r="N148">
        <v>2</v>
      </c>
    </row>
    <row r="149" spans="1:14" x14ac:dyDescent="0.25">
      <c r="A149">
        <v>148</v>
      </c>
      <c r="B149" s="1" t="s">
        <v>13</v>
      </c>
      <c r="C149">
        <v>46</v>
      </c>
      <c r="D149" s="1" t="s">
        <v>30</v>
      </c>
      <c r="E149" s="1" t="s">
        <v>15</v>
      </c>
      <c r="F149" s="1" t="s">
        <v>23</v>
      </c>
      <c r="G149" s="2">
        <v>44968</v>
      </c>
      <c r="H149">
        <v>2</v>
      </c>
      <c r="I149">
        <v>17086</v>
      </c>
      <c r="J149" s="1" t="s">
        <v>24</v>
      </c>
      <c r="K149">
        <v>2023</v>
      </c>
      <c r="L149" t="s">
        <v>46</v>
      </c>
      <c r="M149" t="s">
        <v>38</v>
      </c>
      <c r="N149">
        <v>2</v>
      </c>
    </row>
    <row r="150" spans="1:14" x14ac:dyDescent="0.25">
      <c r="A150">
        <v>149</v>
      </c>
      <c r="B150" s="1" t="s">
        <v>13</v>
      </c>
      <c r="C150">
        <v>34</v>
      </c>
      <c r="D150" s="1" t="s">
        <v>34</v>
      </c>
      <c r="E150" s="1" t="s">
        <v>31</v>
      </c>
      <c r="F150" s="1" t="s">
        <v>32</v>
      </c>
      <c r="G150" s="2">
        <v>45139</v>
      </c>
      <c r="H150">
        <v>13</v>
      </c>
      <c r="I150">
        <v>19387</v>
      </c>
      <c r="J150" s="1" t="s">
        <v>24</v>
      </c>
      <c r="K150">
        <v>2023</v>
      </c>
      <c r="L150" t="s">
        <v>47</v>
      </c>
      <c r="M150" t="s">
        <v>29</v>
      </c>
      <c r="N150">
        <v>8</v>
      </c>
    </row>
    <row r="151" spans="1:14" x14ac:dyDescent="0.25">
      <c r="A151">
        <v>150</v>
      </c>
      <c r="B151" s="1" t="s">
        <v>20</v>
      </c>
      <c r="C151">
        <v>49</v>
      </c>
      <c r="D151" s="1" t="s">
        <v>45</v>
      </c>
      <c r="E151" s="1" t="s">
        <v>15</v>
      </c>
      <c r="F151" s="1" t="s">
        <v>16</v>
      </c>
      <c r="G151" s="2">
        <v>45222</v>
      </c>
      <c r="H151">
        <v>13</v>
      </c>
      <c r="I151">
        <v>29042</v>
      </c>
      <c r="J151" s="1" t="s">
        <v>17</v>
      </c>
      <c r="K151">
        <v>2023</v>
      </c>
      <c r="L151" t="s">
        <v>41</v>
      </c>
      <c r="M151" t="s">
        <v>38</v>
      </c>
      <c r="N151">
        <v>10</v>
      </c>
    </row>
    <row r="152" spans="1:14" x14ac:dyDescent="0.25">
      <c r="A152">
        <v>151</v>
      </c>
      <c r="B152" s="1" t="s">
        <v>13</v>
      </c>
      <c r="C152">
        <v>78</v>
      </c>
      <c r="D152" s="1" t="s">
        <v>14</v>
      </c>
      <c r="E152" s="1" t="s">
        <v>31</v>
      </c>
      <c r="F152" s="1" t="s">
        <v>16</v>
      </c>
      <c r="G152" s="2">
        <v>45160</v>
      </c>
      <c r="H152">
        <v>1</v>
      </c>
      <c r="I152">
        <v>25888</v>
      </c>
      <c r="J152" s="1" t="s">
        <v>24</v>
      </c>
      <c r="K152">
        <v>2023</v>
      </c>
      <c r="L152" t="s">
        <v>47</v>
      </c>
      <c r="M152" t="s">
        <v>19</v>
      </c>
      <c r="N152">
        <v>8</v>
      </c>
    </row>
    <row r="153" spans="1:14" x14ac:dyDescent="0.25">
      <c r="A153">
        <v>152</v>
      </c>
      <c r="B153" s="1" t="s">
        <v>13</v>
      </c>
      <c r="C153">
        <v>45</v>
      </c>
      <c r="D153" s="1" t="s">
        <v>21</v>
      </c>
      <c r="E153" s="1" t="s">
        <v>27</v>
      </c>
      <c r="F153" s="1" t="s">
        <v>28</v>
      </c>
      <c r="G153" s="2">
        <v>45056</v>
      </c>
      <c r="H153">
        <v>5</v>
      </c>
      <c r="I153">
        <v>28514</v>
      </c>
      <c r="J153" s="1" t="s">
        <v>24</v>
      </c>
      <c r="K153">
        <v>2023</v>
      </c>
      <c r="L153" t="s">
        <v>42</v>
      </c>
      <c r="M153" t="s">
        <v>38</v>
      </c>
      <c r="N153">
        <v>5</v>
      </c>
    </row>
    <row r="154" spans="1:14" x14ac:dyDescent="0.25">
      <c r="A154">
        <v>153</v>
      </c>
      <c r="B154" s="1" t="s">
        <v>13</v>
      </c>
      <c r="C154">
        <v>27</v>
      </c>
      <c r="D154" s="1" t="s">
        <v>45</v>
      </c>
      <c r="E154" s="1" t="s">
        <v>31</v>
      </c>
      <c r="F154" s="1" t="s">
        <v>32</v>
      </c>
      <c r="G154" s="2">
        <v>45093</v>
      </c>
      <c r="H154">
        <v>13</v>
      </c>
      <c r="I154">
        <v>20323</v>
      </c>
      <c r="J154" s="1" t="s">
        <v>24</v>
      </c>
      <c r="K154">
        <v>2023</v>
      </c>
      <c r="L154" t="s">
        <v>40</v>
      </c>
      <c r="M154" t="s">
        <v>29</v>
      </c>
      <c r="N154">
        <v>6</v>
      </c>
    </row>
    <row r="155" spans="1:14" x14ac:dyDescent="0.25">
      <c r="A155">
        <v>154</v>
      </c>
      <c r="B155" s="1" t="s">
        <v>13</v>
      </c>
      <c r="C155">
        <v>73</v>
      </c>
      <c r="D155" s="1" t="s">
        <v>14</v>
      </c>
      <c r="E155" s="1" t="s">
        <v>35</v>
      </c>
      <c r="F155" s="1" t="s">
        <v>23</v>
      </c>
      <c r="G155" s="2">
        <v>45223</v>
      </c>
      <c r="H155">
        <v>13</v>
      </c>
      <c r="I155">
        <v>20019</v>
      </c>
      <c r="J155" s="1" t="s">
        <v>17</v>
      </c>
      <c r="K155">
        <v>2023</v>
      </c>
      <c r="L155" t="s">
        <v>41</v>
      </c>
      <c r="M155" t="s">
        <v>19</v>
      </c>
      <c r="N155">
        <v>10</v>
      </c>
    </row>
    <row r="156" spans="1:14" x14ac:dyDescent="0.25">
      <c r="A156">
        <v>155</v>
      </c>
      <c r="B156" s="1" t="s">
        <v>13</v>
      </c>
      <c r="C156">
        <v>26</v>
      </c>
      <c r="D156" s="1" t="s">
        <v>34</v>
      </c>
      <c r="E156" s="1" t="s">
        <v>31</v>
      </c>
      <c r="F156" s="1" t="s">
        <v>28</v>
      </c>
      <c r="G156" s="2">
        <v>45249</v>
      </c>
      <c r="H156">
        <v>7</v>
      </c>
      <c r="I156">
        <v>11890</v>
      </c>
      <c r="J156" s="1" t="s">
        <v>24</v>
      </c>
      <c r="K156">
        <v>2023</v>
      </c>
      <c r="L156" t="s">
        <v>18</v>
      </c>
      <c r="M156" t="s">
        <v>29</v>
      </c>
      <c r="N156">
        <v>11</v>
      </c>
    </row>
    <row r="157" spans="1:14" x14ac:dyDescent="0.25">
      <c r="A157">
        <v>156</v>
      </c>
      <c r="B157" s="1" t="s">
        <v>20</v>
      </c>
      <c r="C157">
        <v>47</v>
      </c>
      <c r="D157" s="1" t="s">
        <v>34</v>
      </c>
      <c r="E157" s="1" t="s">
        <v>22</v>
      </c>
      <c r="F157" s="1" t="s">
        <v>32</v>
      </c>
      <c r="G157" s="2">
        <v>45088</v>
      </c>
      <c r="H157">
        <v>8</v>
      </c>
      <c r="I157">
        <v>42863</v>
      </c>
      <c r="J157" s="1" t="s">
        <v>39</v>
      </c>
      <c r="K157">
        <v>2023</v>
      </c>
      <c r="L157" t="s">
        <v>40</v>
      </c>
      <c r="M157" t="s">
        <v>38</v>
      </c>
      <c r="N157">
        <v>6</v>
      </c>
    </row>
    <row r="158" spans="1:14" x14ac:dyDescent="0.25">
      <c r="A158">
        <v>157</v>
      </c>
      <c r="B158" s="1" t="s">
        <v>13</v>
      </c>
      <c r="C158">
        <v>86</v>
      </c>
      <c r="D158" s="1" t="s">
        <v>37</v>
      </c>
      <c r="E158" s="1" t="s">
        <v>31</v>
      </c>
      <c r="F158" s="1" t="s">
        <v>16</v>
      </c>
      <c r="G158" s="2">
        <v>44989</v>
      </c>
      <c r="H158">
        <v>10</v>
      </c>
      <c r="I158">
        <v>47487</v>
      </c>
      <c r="J158" s="1" t="s">
        <v>24</v>
      </c>
      <c r="K158">
        <v>2023</v>
      </c>
      <c r="L158" t="s">
        <v>43</v>
      </c>
      <c r="M158" t="s">
        <v>19</v>
      </c>
      <c r="N158">
        <v>3</v>
      </c>
    </row>
    <row r="159" spans="1:14" x14ac:dyDescent="0.25">
      <c r="A159">
        <v>158</v>
      </c>
      <c r="B159" s="1" t="s">
        <v>20</v>
      </c>
      <c r="C159">
        <v>56</v>
      </c>
      <c r="D159" s="1" t="s">
        <v>30</v>
      </c>
      <c r="E159" s="1" t="s">
        <v>35</v>
      </c>
      <c r="F159" s="1" t="s">
        <v>32</v>
      </c>
      <c r="G159" s="2">
        <v>45147</v>
      </c>
      <c r="H159">
        <v>1</v>
      </c>
      <c r="I159">
        <v>12283</v>
      </c>
      <c r="J159" s="1" t="s">
        <v>24</v>
      </c>
      <c r="K159">
        <v>2023</v>
      </c>
      <c r="L159" t="s">
        <v>47</v>
      </c>
      <c r="M159" t="s">
        <v>38</v>
      </c>
      <c r="N159">
        <v>8</v>
      </c>
    </row>
    <row r="160" spans="1:14" x14ac:dyDescent="0.25">
      <c r="A160">
        <v>159</v>
      </c>
      <c r="B160" s="1" t="s">
        <v>13</v>
      </c>
      <c r="C160">
        <v>63</v>
      </c>
      <c r="D160" s="1" t="s">
        <v>37</v>
      </c>
      <c r="E160" s="1" t="s">
        <v>35</v>
      </c>
      <c r="F160" s="1" t="s">
        <v>16</v>
      </c>
      <c r="G160" s="2">
        <v>45019</v>
      </c>
      <c r="H160">
        <v>7</v>
      </c>
      <c r="I160">
        <v>20279</v>
      </c>
      <c r="J160" s="1" t="s">
        <v>24</v>
      </c>
      <c r="K160">
        <v>2023</v>
      </c>
      <c r="L160" t="s">
        <v>33</v>
      </c>
      <c r="M160" t="s">
        <v>19</v>
      </c>
      <c r="N160">
        <v>4</v>
      </c>
    </row>
    <row r="161" spans="1:14" x14ac:dyDescent="0.25">
      <c r="A161">
        <v>160</v>
      </c>
      <c r="B161" s="1" t="s">
        <v>20</v>
      </c>
      <c r="C161">
        <v>48</v>
      </c>
      <c r="D161" s="1" t="s">
        <v>21</v>
      </c>
      <c r="E161" s="1" t="s">
        <v>15</v>
      </c>
      <c r="F161" s="1" t="s">
        <v>32</v>
      </c>
      <c r="G161" s="2">
        <v>45116</v>
      </c>
      <c r="H161">
        <v>13</v>
      </c>
      <c r="I161">
        <v>48999</v>
      </c>
      <c r="J161" s="1" t="s">
        <v>39</v>
      </c>
      <c r="K161">
        <v>2023</v>
      </c>
      <c r="L161" t="s">
        <v>36</v>
      </c>
      <c r="M161" t="s">
        <v>38</v>
      </c>
      <c r="N161">
        <v>7</v>
      </c>
    </row>
    <row r="162" spans="1:14" x14ac:dyDescent="0.25">
      <c r="A162">
        <v>161</v>
      </c>
      <c r="B162" s="1" t="s">
        <v>13</v>
      </c>
      <c r="C162">
        <v>61</v>
      </c>
      <c r="D162" s="1" t="s">
        <v>45</v>
      </c>
      <c r="E162" s="1" t="s">
        <v>27</v>
      </c>
      <c r="F162" s="1" t="s">
        <v>28</v>
      </c>
      <c r="G162" s="2">
        <v>45058</v>
      </c>
      <c r="H162">
        <v>5</v>
      </c>
      <c r="I162">
        <v>24908</v>
      </c>
      <c r="J162" s="1" t="s">
        <v>24</v>
      </c>
      <c r="K162">
        <v>2023</v>
      </c>
      <c r="L162" t="s">
        <v>42</v>
      </c>
      <c r="M162" t="s">
        <v>19</v>
      </c>
      <c r="N162">
        <v>5</v>
      </c>
    </row>
    <row r="163" spans="1:14" x14ac:dyDescent="0.25">
      <c r="A163">
        <v>162</v>
      </c>
      <c r="B163" s="1" t="s">
        <v>13</v>
      </c>
      <c r="C163">
        <v>81</v>
      </c>
      <c r="D163" s="1" t="s">
        <v>21</v>
      </c>
      <c r="E163" s="1" t="s">
        <v>31</v>
      </c>
      <c r="F163" s="1" t="s">
        <v>16</v>
      </c>
      <c r="G163" s="2">
        <v>45248</v>
      </c>
      <c r="H163">
        <v>10</v>
      </c>
      <c r="I163">
        <v>49466</v>
      </c>
      <c r="J163" s="1" t="s">
        <v>24</v>
      </c>
      <c r="K163">
        <v>2023</v>
      </c>
      <c r="L163" t="s">
        <v>18</v>
      </c>
      <c r="M163" t="s">
        <v>19</v>
      </c>
      <c r="N163">
        <v>11</v>
      </c>
    </row>
    <row r="164" spans="1:14" x14ac:dyDescent="0.25">
      <c r="A164">
        <v>163</v>
      </c>
      <c r="B164" s="1" t="s">
        <v>20</v>
      </c>
      <c r="C164">
        <v>26</v>
      </c>
      <c r="D164" s="1" t="s">
        <v>14</v>
      </c>
      <c r="E164" s="1" t="s">
        <v>15</v>
      </c>
      <c r="F164" s="1" t="s">
        <v>28</v>
      </c>
      <c r="G164" s="2">
        <v>45062</v>
      </c>
      <c r="H164">
        <v>1</v>
      </c>
      <c r="I164">
        <v>39952</v>
      </c>
      <c r="J164" s="1" t="s">
        <v>24</v>
      </c>
      <c r="K164">
        <v>2023</v>
      </c>
      <c r="L164" t="s">
        <v>42</v>
      </c>
      <c r="M164" t="s">
        <v>29</v>
      </c>
      <c r="N164">
        <v>5</v>
      </c>
    </row>
    <row r="165" spans="1:14" x14ac:dyDescent="0.25">
      <c r="A165">
        <v>164</v>
      </c>
      <c r="B165" s="1" t="s">
        <v>20</v>
      </c>
      <c r="C165">
        <v>36</v>
      </c>
      <c r="D165" s="1" t="s">
        <v>34</v>
      </c>
      <c r="E165" s="1" t="s">
        <v>27</v>
      </c>
      <c r="F165" s="1" t="s">
        <v>28</v>
      </c>
      <c r="G165" s="2">
        <v>45126</v>
      </c>
      <c r="H165">
        <v>3</v>
      </c>
      <c r="I165">
        <v>37170</v>
      </c>
      <c r="J165" s="1" t="s">
        <v>24</v>
      </c>
      <c r="K165">
        <v>2023</v>
      </c>
      <c r="L165" t="s">
        <v>36</v>
      </c>
      <c r="M165" t="s">
        <v>29</v>
      </c>
      <c r="N165">
        <v>7</v>
      </c>
    </row>
    <row r="166" spans="1:14" x14ac:dyDescent="0.25">
      <c r="A166">
        <v>165</v>
      </c>
      <c r="B166" s="1" t="s">
        <v>20</v>
      </c>
      <c r="C166">
        <v>1</v>
      </c>
      <c r="D166" s="1" t="s">
        <v>37</v>
      </c>
      <c r="E166" s="1" t="s">
        <v>31</v>
      </c>
      <c r="F166" s="1" t="s">
        <v>16</v>
      </c>
      <c r="G166" s="2">
        <v>44941</v>
      </c>
      <c r="H166">
        <v>7</v>
      </c>
      <c r="I166">
        <v>39663</v>
      </c>
      <c r="J166" s="1" t="s">
        <v>24</v>
      </c>
      <c r="K166">
        <v>2023</v>
      </c>
      <c r="L166" t="s">
        <v>48</v>
      </c>
      <c r="M166" t="s">
        <v>25</v>
      </c>
      <c r="N166">
        <v>1</v>
      </c>
    </row>
    <row r="167" spans="1:14" x14ac:dyDescent="0.25">
      <c r="A167">
        <v>166</v>
      </c>
      <c r="B167" s="1" t="s">
        <v>13</v>
      </c>
      <c r="C167">
        <v>8</v>
      </c>
      <c r="D167" s="1" t="s">
        <v>37</v>
      </c>
      <c r="E167" s="1" t="s">
        <v>22</v>
      </c>
      <c r="F167" s="1" t="s">
        <v>16</v>
      </c>
      <c r="G167" s="2">
        <v>45284</v>
      </c>
      <c r="H167">
        <v>10</v>
      </c>
      <c r="I167">
        <v>46172</v>
      </c>
      <c r="J167" s="1" t="s">
        <v>17</v>
      </c>
      <c r="K167">
        <v>2023</v>
      </c>
      <c r="L167" t="s">
        <v>26</v>
      </c>
      <c r="M167" t="s">
        <v>25</v>
      </c>
      <c r="N167">
        <v>12</v>
      </c>
    </row>
    <row r="168" spans="1:14" x14ac:dyDescent="0.25">
      <c r="A168">
        <v>167</v>
      </c>
      <c r="B168" s="1" t="s">
        <v>20</v>
      </c>
      <c r="C168">
        <v>52</v>
      </c>
      <c r="D168" s="1" t="s">
        <v>37</v>
      </c>
      <c r="E168" s="1" t="s">
        <v>31</v>
      </c>
      <c r="F168" s="1" t="s">
        <v>23</v>
      </c>
      <c r="G168" s="2">
        <v>45067</v>
      </c>
      <c r="H168">
        <v>1</v>
      </c>
      <c r="I168">
        <v>49929</v>
      </c>
      <c r="J168" s="1" t="s">
        <v>24</v>
      </c>
      <c r="K168">
        <v>2023</v>
      </c>
      <c r="L168" t="s">
        <v>42</v>
      </c>
      <c r="M168" t="s">
        <v>38</v>
      </c>
      <c r="N168">
        <v>5</v>
      </c>
    </row>
    <row r="169" spans="1:14" x14ac:dyDescent="0.25">
      <c r="A169">
        <v>168</v>
      </c>
      <c r="B169" s="1" t="s">
        <v>13</v>
      </c>
      <c r="C169">
        <v>79</v>
      </c>
      <c r="D169" s="1" t="s">
        <v>21</v>
      </c>
      <c r="E169" s="1" t="s">
        <v>35</v>
      </c>
      <c r="F169" s="1" t="s">
        <v>23</v>
      </c>
      <c r="G169" s="2">
        <v>45185</v>
      </c>
      <c r="H169">
        <v>7</v>
      </c>
      <c r="I169">
        <v>11343</v>
      </c>
      <c r="J169" s="1" t="s">
        <v>24</v>
      </c>
      <c r="K169">
        <v>2023</v>
      </c>
      <c r="L169" t="s">
        <v>44</v>
      </c>
      <c r="M169" t="s">
        <v>19</v>
      </c>
      <c r="N169">
        <v>9</v>
      </c>
    </row>
    <row r="170" spans="1:14" x14ac:dyDescent="0.25">
      <c r="A170">
        <v>169</v>
      </c>
      <c r="B170" s="1" t="s">
        <v>13</v>
      </c>
      <c r="C170">
        <v>47</v>
      </c>
      <c r="D170" s="1" t="s">
        <v>34</v>
      </c>
      <c r="E170" s="1" t="s">
        <v>35</v>
      </c>
      <c r="F170" s="1" t="s">
        <v>23</v>
      </c>
      <c r="G170" s="2">
        <v>44968</v>
      </c>
      <c r="H170">
        <v>5</v>
      </c>
      <c r="I170">
        <v>12637</v>
      </c>
      <c r="J170" s="1" t="s">
        <v>39</v>
      </c>
      <c r="K170">
        <v>2023</v>
      </c>
      <c r="L170" t="s">
        <v>46</v>
      </c>
      <c r="M170" t="s">
        <v>38</v>
      </c>
      <c r="N170">
        <v>2</v>
      </c>
    </row>
    <row r="171" spans="1:14" x14ac:dyDescent="0.25">
      <c r="A171">
        <v>170</v>
      </c>
      <c r="B171" s="1" t="s">
        <v>20</v>
      </c>
      <c r="C171">
        <v>56</v>
      </c>
      <c r="D171" s="1" t="s">
        <v>45</v>
      </c>
      <c r="E171" s="1" t="s">
        <v>22</v>
      </c>
      <c r="F171" s="1" t="s">
        <v>28</v>
      </c>
      <c r="G171" s="2">
        <v>45024</v>
      </c>
      <c r="H171">
        <v>1</v>
      </c>
      <c r="I171">
        <v>36724</v>
      </c>
      <c r="J171" s="1" t="s">
        <v>24</v>
      </c>
      <c r="K171">
        <v>2023</v>
      </c>
      <c r="L171" t="s">
        <v>33</v>
      </c>
      <c r="M171" t="s">
        <v>38</v>
      </c>
      <c r="N171">
        <v>4</v>
      </c>
    </row>
    <row r="172" spans="1:14" x14ac:dyDescent="0.25">
      <c r="A172">
        <v>171</v>
      </c>
      <c r="B172" s="1" t="s">
        <v>20</v>
      </c>
      <c r="C172">
        <v>86</v>
      </c>
      <c r="D172" s="1" t="s">
        <v>14</v>
      </c>
      <c r="E172" s="1" t="s">
        <v>15</v>
      </c>
      <c r="F172" s="1" t="s">
        <v>28</v>
      </c>
      <c r="G172" s="2">
        <v>45272</v>
      </c>
      <c r="H172">
        <v>1</v>
      </c>
      <c r="I172">
        <v>41791</v>
      </c>
      <c r="J172" s="1" t="s">
        <v>24</v>
      </c>
      <c r="K172">
        <v>2023</v>
      </c>
      <c r="L172" t="s">
        <v>26</v>
      </c>
      <c r="M172" t="s">
        <v>19</v>
      </c>
      <c r="N172">
        <v>12</v>
      </c>
    </row>
    <row r="173" spans="1:14" x14ac:dyDescent="0.25">
      <c r="A173">
        <v>172</v>
      </c>
      <c r="B173" s="1" t="s">
        <v>13</v>
      </c>
      <c r="C173">
        <v>14</v>
      </c>
      <c r="D173" s="1" t="s">
        <v>45</v>
      </c>
      <c r="E173" s="1" t="s">
        <v>27</v>
      </c>
      <c r="F173" s="1" t="s">
        <v>23</v>
      </c>
      <c r="G173" s="2">
        <v>45233</v>
      </c>
      <c r="H173">
        <v>14</v>
      </c>
      <c r="I173">
        <v>31134</v>
      </c>
      <c r="J173" s="1" t="s">
        <v>24</v>
      </c>
      <c r="K173">
        <v>2023</v>
      </c>
      <c r="L173" t="s">
        <v>18</v>
      </c>
      <c r="M173" t="s">
        <v>25</v>
      </c>
      <c r="N173">
        <v>11</v>
      </c>
    </row>
    <row r="174" spans="1:14" x14ac:dyDescent="0.25">
      <c r="A174">
        <v>173</v>
      </c>
      <c r="B174" s="1" t="s">
        <v>13</v>
      </c>
      <c r="C174">
        <v>28</v>
      </c>
      <c r="D174" s="1" t="s">
        <v>21</v>
      </c>
      <c r="E174" s="1" t="s">
        <v>31</v>
      </c>
      <c r="F174" s="1" t="s">
        <v>28</v>
      </c>
      <c r="G174" s="2">
        <v>45029</v>
      </c>
      <c r="H174">
        <v>1</v>
      </c>
      <c r="I174">
        <v>48830</v>
      </c>
      <c r="J174" s="1" t="s">
        <v>24</v>
      </c>
      <c r="K174">
        <v>2023</v>
      </c>
      <c r="L174" t="s">
        <v>33</v>
      </c>
      <c r="M174" t="s">
        <v>29</v>
      </c>
      <c r="N174">
        <v>4</v>
      </c>
    </row>
    <row r="175" spans="1:14" x14ac:dyDescent="0.25">
      <c r="A175">
        <v>174</v>
      </c>
      <c r="B175" s="1" t="s">
        <v>20</v>
      </c>
      <c r="C175">
        <v>87</v>
      </c>
      <c r="D175" s="1" t="s">
        <v>14</v>
      </c>
      <c r="E175" s="1" t="s">
        <v>35</v>
      </c>
      <c r="F175" s="1" t="s">
        <v>28</v>
      </c>
      <c r="G175" s="2">
        <v>45091</v>
      </c>
      <c r="H175">
        <v>11</v>
      </c>
      <c r="I175">
        <v>49101</v>
      </c>
      <c r="J175" s="1" t="s">
        <v>24</v>
      </c>
      <c r="K175">
        <v>2023</v>
      </c>
      <c r="L175" t="s">
        <v>40</v>
      </c>
      <c r="M175" t="s">
        <v>19</v>
      </c>
      <c r="N175">
        <v>6</v>
      </c>
    </row>
    <row r="176" spans="1:14" x14ac:dyDescent="0.25">
      <c r="A176">
        <v>175</v>
      </c>
      <c r="B176" s="1" t="s">
        <v>20</v>
      </c>
      <c r="C176">
        <v>78</v>
      </c>
      <c r="D176" s="1" t="s">
        <v>37</v>
      </c>
      <c r="E176" s="1" t="s">
        <v>15</v>
      </c>
      <c r="F176" s="1" t="s">
        <v>16</v>
      </c>
      <c r="G176" s="2">
        <v>44948</v>
      </c>
      <c r="H176">
        <v>9</v>
      </c>
      <c r="I176">
        <v>5907</v>
      </c>
      <c r="J176" s="1" t="s">
        <v>24</v>
      </c>
      <c r="K176">
        <v>2023</v>
      </c>
      <c r="L176" t="s">
        <v>48</v>
      </c>
      <c r="M176" t="s">
        <v>19</v>
      </c>
      <c r="N176">
        <v>1</v>
      </c>
    </row>
    <row r="177" spans="1:14" x14ac:dyDescent="0.25">
      <c r="A177">
        <v>176</v>
      </c>
      <c r="B177" s="1" t="s">
        <v>20</v>
      </c>
      <c r="C177">
        <v>88</v>
      </c>
      <c r="D177" s="1" t="s">
        <v>30</v>
      </c>
      <c r="E177" s="1" t="s">
        <v>22</v>
      </c>
      <c r="F177" s="1" t="s">
        <v>16</v>
      </c>
      <c r="G177" s="2">
        <v>45220</v>
      </c>
      <c r="H177">
        <v>11</v>
      </c>
      <c r="I177">
        <v>35575</v>
      </c>
      <c r="J177" s="1" t="s">
        <v>24</v>
      </c>
      <c r="K177">
        <v>2023</v>
      </c>
      <c r="L177" t="s">
        <v>41</v>
      </c>
      <c r="M177" t="s">
        <v>19</v>
      </c>
      <c r="N177">
        <v>10</v>
      </c>
    </row>
    <row r="178" spans="1:14" x14ac:dyDescent="0.25">
      <c r="A178">
        <v>177</v>
      </c>
      <c r="B178" s="1" t="s">
        <v>13</v>
      </c>
      <c r="C178">
        <v>2</v>
      </c>
      <c r="D178" s="1" t="s">
        <v>21</v>
      </c>
      <c r="E178" s="1" t="s">
        <v>35</v>
      </c>
      <c r="F178" s="1" t="s">
        <v>28</v>
      </c>
      <c r="G178" s="2">
        <v>45026</v>
      </c>
      <c r="H178">
        <v>13</v>
      </c>
      <c r="I178">
        <v>48799</v>
      </c>
      <c r="J178" s="1" t="s">
        <v>24</v>
      </c>
      <c r="K178">
        <v>2023</v>
      </c>
      <c r="L178" t="s">
        <v>33</v>
      </c>
      <c r="M178" t="s">
        <v>25</v>
      </c>
      <c r="N178">
        <v>4</v>
      </c>
    </row>
    <row r="179" spans="1:14" x14ac:dyDescent="0.25">
      <c r="A179">
        <v>178</v>
      </c>
      <c r="B179" s="1" t="s">
        <v>13</v>
      </c>
      <c r="C179">
        <v>26</v>
      </c>
      <c r="D179" s="1" t="s">
        <v>21</v>
      </c>
      <c r="E179" s="1" t="s">
        <v>22</v>
      </c>
      <c r="F179" s="1" t="s">
        <v>23</v>
      </c>
      <c r="G179" s="2">
        <v>45237</v>
      </c>
      <c r="H179">
        <v>3</v>
      </c>
      <c r="I179">
        <v>6827</v>
      </c>
      <c r="J179" s="1" t="s">
        <v>17</v>
      </c>
      <c r="K179">
        <v>2023</v>
      </c>
      <c r="L179" t="s">
        <v>18</v>
      </c>
      <c r="M179" t="s">
        <v>29</v>
      </c>
      <c r="N179">
        <v>11</v>
      </c>
    </row>
    <row r="180" spans="1:14" x14ac:dyDescent="0.25">
      <c r="A180">
        <v>179</v>
      </c>
      <c r="B180" s="1" t="s">
        <v>13</v>
      </c>
      <c r="C180">
        <v>14</v>
      </c>
      <c r="D180" s="1" t="s">
        <v>34</v>
      </c>
      <c r="E180" s="1" t="s">
        <v>31</v>
      </c>
      <c r="F180" s="1" t="s">
        <v>32</v>
      </c>
      <c r="G180" s="2">
        <v>45010</v>
      </c>
      <c r="H180">
        <v>13</v>
      </c>
      <c r="I180">
        <v>32607</v>
      </c>
      <c r="J180" s="1" t="s">
        <v>39</v>
      </c>
      <c r="K180">
        <v>2023</v>
      </c>
      <c r="L180" t="s">
        <v>43</v>
      </c>
      <c r="M180" t="s">
        <v>25</v>
      </c>
      <c r="N180">
        <v>3</v>
      </c>
    </row>
    <row r="181" spans="1:14" x14ac:dyDescent="0.25">
      <c r="A181">
        <v>180</v>
      </c>
      <c r="B181" s="1" t="s">
        <v>13</v>
      </c>
      <c r="C181">
        <v>59</v>
      </c>
      <c r="D181" s="1" t="s">
        <v>45</v>
      </c>
      <c r="E181" s="1" t="s">
        <v>27</v>
      </c>
      <c r="F181" s="1" t="s">
        <v>23</v>
      </c>
      <c r="G181" s="2">
        <v>45150</v>
      </c>
      <c r="H181">
        <v>5</v>
      </c>
      <c r="I181">
        <v>15699</v>
      </c>
      <c r="J181" s="1" t="s">
        <v>39</v>
      </c>
      <c r="K181">
        <v>2023</v>
      </c>
      <c r="L181" t="s">
        <v>47</v>
      </c>
      <c r="M181" t="s">
        <v>38</v>
      </c>
      <c r="N181">
        <v>8</v>
      </c>
    </row>
    <row r="182" spans="1:14" x14ac:dyDescent="0.25">
      <c r="A182">
        <v>181</v>
      </c>
      <c r="B182" s="1" t="s">
        <v>13</v>
      </c>
      <c r="C182">
        <v>56</v>
      </c>
      <c r="D182" s="1" t="s">
        <v>21</v>
      </c>
      <c r="E182" s="1" t="s">
        <v>35</v>
      </c>
      <c r="F182" s="1" t="s">
        <v>32</v>
      </c>
      <c r="G182" s="2">
        <v>45070</v>
      </c>
      <c r="H182">
        <v>11</v>
      </c>
      <c r="I182">
        <v>39292</v>
      </c>
      <c r="J182" s="1" t="s">
        <v>39</v>
      </c>
      <c r="K182">
        <v>2023</v>
      </c>
      <c r="L182" t="s">
        <v>42</v>
      </c>
      <c r="M182" t="s">
        <v>38</v>
      </c>
      <c r="N182">
        <v>5</v>
      </c>
    </row>
    <row r="183" spans="1:14" x14ac:dyDescent="0.25">
      <c r="A183">
        <v>182</v>
      </c>
      <c r="B183" s="1" t="s">
        <v>13</v>
      </c>
      <c r="C183">
        <v>7</v>
      </c>
      <c r="D183" s="1" t="s">
        <v>21</v>
      </c>
      <c r="E183" s="1" t="s">
        <v>35</v>
      </c>
      <c r="F183" s="1" t="s">
        <v>23</v>
      </c>
      <c r="G183" s="2">
        <v>45221</v>
      </c>
      <c r="H183">
        <v>10</v>
      </c>
      <c r="I183">
        <v>49961</v>
      </c>
      <c r="J183" s="1" t="s">
        <v>24</v>
      </c>
      <c r="K183">
        <v>2023</v>
      </c>
      <c r="L183" t="s">
        <v>41</v>
      </c>
      <c r="M183" t="s">
        <v>25</v>
      </c>
      <c r="N183">
        <v>10</v>
      </c>
    </row>
    <row r="184" spans="1:14" x14ac:dyDescent="0.25">
      <c r="A184">
        <v>183</v>
      </c>
      <c r="B184" s="1" t="s">
        <v>20</v>
      </c>
      <c r="C184">
        <v>3</v>
      </c>
      <c r="D184" s="1" t="s">
        <v>37</v>
      </c>
      <c r="E184" s="1" t="s">
        <v>31</v>
      </c>
      <c r="F184" s="1" t="s">
        <v>16</v>
      </c>
      <c r="G184" s="2">
        <v>45137</v>
      </c>
      <c r="H184">
        <v>12</v>
      </c>
      <c r="I184">
        <v>27883</v>
      </c>
      <c r="J184" s="1" t="s">
        <v>39</v>
      </c>
      <c r="K184">
        <v>2023</v>
      </c>
      <c r="L184" t="s">
        <v>36</v>
      </c>
      <c r="M184" t="s">
        <v>25</v>
      </c>
      <c r="N184">
        <v>7</v>
      </c>
    </row>
    <row r="185" spans="1:14" x14ac:dyDescent="0.25">
      <c r="A185">
        <v>184</v>
      </c>
      <c r="B185" s="1" t="s">
        <v>13</v>
      </c>
      <c r="C185">
        <v>23</v>
      </c>
      <c r="D185" s="1" t="s">
        <v>37</v>
      </c>
      <c r="E185" s="1" t="s">
        <v>15</v>
      </c>
      <c r="F185" s="1" t="s">
        <v>28</v>
      </c>
      <c r="G185" s="2">
        <v>45200</v>
      </c>
      <c r="H185">
        <v>9</v>
      </c>
      <c r="I185">
        <v>7313</v>
      </c>
      <c r="J185" s="1" t="s">
        <v>24</v>
      </c>
      <c r="K185">
        <v>2023</v>
      </c>
      <c r="L185" t="s">
        <v>41</v>
      </c>
      <c r="M185" t="s">
        <v>29</v>
      </c>
      <c r="N185">
        <v>10</v>
      </c>
    </row>
    <row r="186" spans="1:14" x14ac:dyDescent="0.25">
      <c r="A186">
        <v>185</v>
      </c>
      <c r="B186" s="1" t="s">
        <v>13</v>
      </c>
      <c r="C186">
        <v>18</v>
      </c>
      <c r="D186" s="1" t="s">
        <v>14</v>
      </c>
      <c r="E186" s="1" t="s">
        <v>27</v>
      </c>
      <c r="F186" s="1" t="s">
        <v>28</v>
      </c>
      <c r="G186" s="2">
        <v>45158</v>
      </c>
      <c r="H186">
        <v>6</v>
      </c>
      <c r="I186">
        <v>15598</v>
      </c>
      <c r="J186" s="1" t="s">
        <v>24</v>
      </c>
      <c r="K186">
        <v>2023</v>
      </c>
      <c r="L186" t="s">
        <v>47</v>
      </c>
      <c r="M186" t="s">
        <v>29</v>
      </c>
      <c r="N186">
        <v>8</v>
      </c>
    </row>
    <row r="187" spans="1:14" x14ac:dyDescent="0.25">
      <c r="A187">
        <v>186</v>
      </c>
      <c r="B187" s="1" t="s">
        <v>13</v>
      </c>
      <c r="C187">
        <v>38</v>
      </c>
      <c r="D187" s="1" t="s">
        <v>30</v>
      </c>
      <c r="E187" s="1" t="s">
        <v>35</v>
      </c>
      <c r="F187" s="1" t="s">
        <v>16</v>
      </c>
      <c r="G187" s="2">
        <v>45245</v>
      </c>
      <c r="H187">
        <v>12</v>
      </c>
      <c r="I187">
        <v>47826</v>
      </c>
      <c r="J187" s="1" t="s">
        <v>24</v>
      </c>
      <c r="K187">
        <v>2023</v>
      </c>
      <c r="L187" t="s">
        <v>18</v>
      </c>
      <c r="M187" t="s">
        <v>29</v>
      </c>
      <c r="N187">
        <v>11</v>
      </c>
    </row>
    <row r="188" spans="1:14" x14ac:dyDescent="0.25">
      <c r="A188">
        <v>187</v>
      </c>
      <c r="B188" s="1" t="s">
        <v>20</v>
      </c>
      <c r="C188">
        <v>15</v>
      </c>
      <c r="D188" s="1" t="s">
        <v>34</v>
      </c>
      <c r="E188" s="1" t="s">
        <v>27</v>
      </c>
      <c r="F188" s="1" t="s">
        <v>32</v>
      </c>
      <c r="G188" s="2">
        <v>45122</v>
      </c>
      <c r="H188">
        <v>9</v>
      </c>
      <c r="I188">
        <v>30807</v>
      </c>
      <c r="J188" s="1" t="s">
        <v>24</v>
      </c>
      <c r="K188">
        <v>2023</v>
      </c>
      <c r="L188" t="s">
        <v>36</v>
      </c>
      <c r="M188" t="s">
        <v>25</v>
      </c>
      <c r="N188">
        <v>7</v>
      </c>
    </row>
    <row r="189" spans="1:14" x14ac:dyDescent="0.25">
      <c r="A189">
        <v>188</v>
      </c>
      <c r="B189" s="1" t="s">
        <v>13</v>
      </c>
      <c r="C189">
        <v>64</v>
      </c>
      <c r="D189" s="1" t="s">
        <v>30</v>
      </c>
      <c r="E189" s="1" t="s">
        <v>35</v>
      </c>
      <c r="F189" s="1" t="s">
        <v>32</v>
      </c>
      <c r="G189" s="2">
        <v>45219</v>
      </c>
      <c r="H189">
        <v>8</v>
      </c>
      <c r="I189">
        <v>6887</v>
      </c>
      <c r="J189" s="1" t="s">
        <v>39</v>
      </c>
      <c r="K189">
        <v>2023</v>
      </c>
      <c r="L189" t="s">
        <v>41</v>
      </c>
      <c r="M189" t="s">
        <v>19</v>
      </c>
      <c r="N189">
        <v>10</v>
      </c>
    </row>
    <row r="190" spans="1:14" x14ac:dyDescent="0.25">
      <c r="A190">
        <v>189</v>
      </c>
      <c r="B190" s="1" t="s">
        <v>13</v>
      </c>
      <c r="C190">
        <v>89</v>
      </c>
      <c r="D190" s="1" t="s">
        <v>14</v>
      </c>
      <c r="E190" s="1" t="s">
        <v>27</v>
      </c>
      <c r="F190" s="1" t="s">
        <v>32</v>
      </c>
      <c r="G190" s="2">
        <v>45235</v>
      </c>
      <c r="H190">
        <v>8</v>
      </c>
      <c r="I190">
        <v>5854</v>
      </c>
      <c r="J190" s="1" t="s">
        <v>17</v>
      </c>
      <c r="K190">
        <v>2023</v>
      </c>
      <c r="L190" t="s">
        <v>18</v>
      </c>
      <c r="M190" t="s">
        <v>19</v>
      </c>
      <c r="N190">
        <v>11</v>
      </c>
    </row>
    <row r="191" spans="1:14" x14ac:dyDescent="0.25">
      <c r="A191">
        <v>190</v>
      </c>
      <c r="B191" s="1" t="s">
        <v>20</v>
      </c>
      <c r="C191">
        <v>28</v>
      </c>
      <c r="D191" s="1" t="s">
        <v>37</v>
      </c>
      <c r="E191" s="1" t="s">
        <v>22</v>
      </c>
      <c r="F191" s="1" t="s">
        <v>16</v>
      </c>
      <c r="G191" s="2">
        <v>45105</v>
      </c>
      <c r="H191">
        <v>1</v>
      </c>
      <c r="I191">
        <v>47226</v>
      </c>
      <c r="J191" s="1" t="s">
        <v>24</v>
      </c>
      <c r="K191">
        <v>2023</v>
      </c>
      <c r="L191" t="s">
        <v>40</v>
      </c>
      <c r="M191" t="s">
        <v>29</v>
      </c>
      <c r="N191">
        <v>6</v>
      </c>
    </row>
    <row r="192" spans="1:14" x14ac:dyDescent="0.25">
      <c r="A192">
        <v>191</v>
      </c>
      <c r="B192" s="1" t="s">
        <v>13</v>
      </c>
      <c r="C192">
        <v>74</v>
      </c>
      <c r="D192" s="1" t="s">
        <v>45</v>
      </c>
      <c r="E192" s="1" t="s">
        <v>35</v>
      </c>
      <c r="F192" s="1" t="s">
        <v>32</v>
      </c>
      <c r="G192" s="2">
        <v>45255</v>
      </c>
      <c r="H192">
        <v>13</v>
      </c>
      <c r="I192">
        <v>16536</v>
      </c>
      <c r="J192" s="1" t="s">
        <v>39</v>
      </c>
      <c r="K192">
        <v>2023</v>
      </c>
      <c r="L192" t="s">
        <v>18</v>
      </c>
      <c r="M192" t="s">
        <v>19</v>
      </c>
      <c r="N192">
        <v>11</v>
      </c>
    </row>
    <row r="193" spans="1:14" x14ac:dyDescent="0.25">
      <c r="A193">
        <v>192</v>
      </c>
      <c r="B193" s="1" t="s">
        <v>13</v>
      </c>
      <c r="C193">
        <v>39</v>
      </c>
      <c r="D193" s="1" t="s">
        <v>37</v>
      </c>
      <c r="E193" s="1" t="s">
        <v>27</v>
      </c>
      <c r="F193" s="1" t="s">
        <v>16</v>
      </c>
      <c r="G193" s="2">
        <v>45178</v>
      </c>
      <c r="H193">
        <v>9</v>
      </c>
      <c r="I193">
        <v>5558</v>
      </c>
      <c r="J193" s="1" t="s">
        <v>24</v>
      </c>
      <c r="K193">
        <v>2023</v>
      </c>
      <c r="L193" t="s">
        <v>44</v>
      </c>
      <c r="M193" t="s">
        <v>29</v>
      </c>
      <c r="N193">
        <v>9</v>
      </c>
    </row>
    <row r="194" spans="1:14" x14ac:dyDescent="0.25">
      <c r="A194">
        <v>193</v>
      </c>
      <c r="B194" s="1" t="s">
        <v>13</v>
      </c>
      <c r="C194">
        <v>57</v>
      </c>
      <c r="D194" s="1" t="s">
        <v>34</v>
      </c>
      <c r="E194" s="1" t="s">
        <v>15</v>
      </c>
      <c r="F194" s="1" t="s">
        <v>23</v>
      </c>
      <c r="G194" s="2">
        <v>45080</v>
      </c>
      <c r="H194">
        <v>6</v>
      </c>
      <c r="I194">
        <v>11772</v>
      </c>
      <c r="J194" s="1" t="s">
        <v>24</v>
      </c>
      <c r="K194">
        <v>2023</v>
      </c>
      <c r="L194" t="s">
        <v>40</v>
      </c>
      <c r="M194" t="s">
        <v>38</v>
      </c>
      <c r="N194">
        <v>6</v>
      </c>
    </row>
    <row r="195" spans="1:14" x14ac:dyDescent="0.25">
      <c r="A195">
        <v>194</v>
      </c>
      <c r="B195" s="1" t="s">
        <v>13</v>
      </c>
      <c r="C195">
        <v>17</v>
      </c>
      <c r="D195" s="1" t="s">
        <v>37</v>
      </c>
      <c r="E195" s="1" t="s">
        <v>22</v>
      </c>
      <c r="F195" s="1" t="s">
        <v>23</v>
      </c>
      <c r="G195" s="2">
        <v>45284</v>
      </c>
      <c r="H195">
        <v>9</v>
      </c>
      <c r="I195">
        <v>38343</v>
      </c>
      <c r="J195" s="1" t="s">
        <v>24</v>
      </c>
      <c r="K195">
        <v>2023</v>
      </c>
      <c r="L195" t="s">
        <v>26</v>
      </c>
      <c r="M195" t="s">
        <v>25</v>
      </c>
      <c r="N195">
        <v>12</v>
      </c>
    </row>
    <row r="196" spans="1:14" x14ac:dyDescent="0.25">
      <c r="A196">
        <v>195</v>
      </c>
      <c r="B196" s="1" t="s">
        <v>13</v>
      </c>
      <c r="C196">
        <v>86</v>
      </c>
      <c r="D196" s="1" t="s">
        <v>34</v>
      </c>
      <c r="E196" s="1" t="s">
        <v>22</v>
      </c>
      <c r="F196" s="1" t="s">
        <v>16</v>
      </c>
      <c r="G196" s="2">
        <v>44943</v>
      </c>
      <c r="H196">
        <v>3</v>
      </c>
      <c r="I196">
        <v>37186</v>
      </c>
      <c r="J196" s="1" t="s">
        <v>24</v>
      </c>
      <c r="K196">
        <v>2023</v>
      </c>
      <c r="L196" t="s">
        <v>48</v>
      </c>
      <c r="M196" t="s">
        <v>19</v>
      </c>
      <c r="N196">
        <v>1</v>
      </c>
    </row>
    <row r="197" spans="1:14" x14ac:dyDescent="0.25">
      <c r="A197">
        <v>196</v>
      </c>
      <c r="B197" s="1" t="s">
        <v>20</v>
      </c>
      <c r="C197">
        <v>44</v>
      </c>
      <c r="D197" s="1" t="s">
        <v>34</v>
      </c>
      <c r="E197" s="1" t="s">
        <v>15</v>
      </c>
      <c r="F197" s="1" t="s">
        <v>28</v>
      </c>
      <c r="G197" s="2">
        <v>45032</v>
      </c>
      <c r="H197">
        <v>12</v>
      </c>
      <c r="I197">
        <v>38966</v>
      </c>
      <c r="J197" s="1" t="s">
        <v>17</v>
      </c>
      <c r="K197">
        <v>2023</v>
      </c>
      <c r="L197" t="s">
        <v>33</v>
      </c>
      <c r="M197" t="s">
        <v>38</v>
      </c>
      <c r="N197">
        <v>4</v>
      </c>
    </row>
    <row r="198" spans="1:14" x14ac:dyDescent="0.25">
      <c r="A198">
        <v>197</v>
      </c>
      <c r="B198" s="1" t="s">
        <v>20</v>
      </c>
      <c r="C198">
        <v>25</v>
      </c>
      <c r="D198" s="1" t="s">
        <v>34</v>
      </c>
      <c r="E198" s="1" t="s">
        <v>27</v>
      </c>
      <c r="F198" s="1" t="s">
        <v>23</v>
      </c>
      <c r="G198" s="2">
        <v>44949</v>
      </c>
      <c r="H198">
        <v>3</v>
      </c>
      <c r="I198">
        <v>35769</v>
      </c>
      <c r="J198" s="1" t="s">
        <v>39</v>
      </c>
      <c r="K198">
        <v>2023</v>
      </c>
      <c r="L198" t="s">
        <v>48</v>
      </c>
      <c r="M198" t="s">
        <v>29</v>
      </c>
      <c r="N198">
        <v>1</v>
      </c>
    </row>
    <row r="199" spans="1:14" x14ac:dyDescent="0.25">
      <c r="A199">
        <v>198</v>
      </c>
      <c r="B199" s="1" t="s">
        <v>20</v>
      </c>
      <c r="C199">
        <v>17</v>
      </c>
      <c r="D199" s="1" t="s">
        <v>14</v>
      </c>
      <c r="E199" s="1" t="s">
        <v>31</v>
      </c>
      <c r="F199" s="1" t="s">
        <v>32</v>
      </c>
      <c r="G199" s="2">
        <v>45147</v>
      </c>
      <c r="H199">
        <v>6</v>
      </c>
      <c r="I199">
        <v>41887</v>
      </c>
      <c r="J199" s="1" t="s">
        <v>39</v>
      </c>
      <c r="K199">
        <v>2023</v>
      </c>
      <c r="L199" t="s">
        <v>47</v>
      </c>
      <c r="M199" t="s">
        <v>25</v>
      </c>
      <c r="N199">
        <v>8</v>
      </c>
    </row>
    <row r="200" spans="1:14" x14ac:dyDescent="0.25">
      <c r="A200">
        <v>199</v>
      </c>
      <c r="B200" s="1" t="s">
        <v>13</v>
      </c>
      <c r="C200">
        <v>13</v>
      </c>
      <c r="D200" s="1" t="s">
        <v>34</v>
      </c>
      <c r="E200" s="1" t="s">
        <v>15</v>
      </c>
      <c r="F200" s="1" t="s">
        <v>16</v>
      </c>
      <c r="G200" s="2">
        <v>45277</v>
      </c>
      <c r="H200">
        <v>9</v>
      </c>
      <c r="I200">
        <v>21229</v>
      </c>
      <c r="J200" s="1" t="s">
        <v>24</v>
      </c>
      <c r="K200">
        <v>2023</v>
      </c>
      <c r="L200" t="s">
        <v>26</v>
      </c>
      <c r="M200" t="s">
        <v>25</v>
      </c>
      <c r="N200">
        <v>12</v>
      </c>
    </row>
    <row r="201" spans="1:14" x14ac:dyDescent="0.25">
      <c r="A201">
        <v>200</v>
      </c>
      <c r="B201" s="1" t="s">
        <v>13</v>
      </c>
      <c r="C201">
        <v>84</v>
      </c>
      <c r="D201" s="1" t="s">
        <v>34</v>
      </c>
      <c r="E201" s="1" t="s">
        <v>27</v>
      </c>
      <c r="F201" s="1" t="s">
        <v>32</v>
      </c>
      <c r="G201" s="2">
        <v>45164</v>
      </c>
      <c r="H201">
        <v>7</v>
      </c>
      <c r="I201">
        <v>11673</v>
      </c>
      <c r="J201" s="1" t="s">
        <v>17</v>
      </c>
      <c r="K201">
        <v>2023</v>
      </c>
      <c r="L201" t="s">
        <v>47</v>
      </c>
      <c r="M201" t="s">
        <v>19</v>
      </c>
      <c r="N201">
        <v>8</v>
      </c>
    </row>
    <row r="202" spans="1:14" x14ac:dyDescent="0.25">
      <c r="A202">
        <v>201</v>
      </c>
      <c r="B202" s="1" t="s">
        <v>13</v>
      </c>
      <c r="C202">
        <v>25</v>
      </c>
      <c r="D202" s="1" t="s">
        <v>45</v>
      </c>
      <c r="E202" s="1" t="s">
        <v>15</v>
      </c>
      <c r="F202" s="1" t="s">
        <v>32</v>
      </c>
      <c r="G202" s="2">
        <v>44963</v>
      </c>
      <c r="H202">
        <v>14</v>
      </c>
      <c r="I202">
        <v>29877</v>
      </c>
      <c r="J202" s="1" t="s">
        <v>24</v>
      </c>
      <c r="K202">
        <v>2023</v>
      </c>
      <c r="L202" t="s">
        <v>46</v>
      </c>
      <c r="M202" t="s">
        <v>29</v>
      </c>
      <c r="N202">
        <v>2</v>
      </c>
    </row>
    <row r="203" spans="1:14" x14ac:dyDescent="0.25">
      <c r="A203">
        <v>202</v>
      </c>
      <c r="B203" s="1" t="s">
        <v>20</v>
      </c>
      <c r="C203">
        <v>68</v>
      </c>
      <c r="D203" s="1" t="s">
        <v>30</v>
      </c>
      <c r="E203" s="1" t="s">
        <v>15</v>
      </c>
      <c r="F203" s="1" t="s">
        <v>28</v>
      </c>
      <c r="G203" s="2">
        <v>45175</v>
      </c>
      <c r="H203">
        <v>13</v>
      </c>
      <c r="I203">
        <v>33601</v>
      </c>
      <c r="J203" s="1" t="s">
        <v>39</v>
      </c>
      <c r="K203">
        <v>2023</v>
      </c>
      <c r="L203" t="s">
        <v>44</v>
      </c>
      <c r="M203" t="s">
        <v>19</v>
      </c>
      <c r="N203">
        <v>9</v>
      </c>
    </row>
    <row r="204" spans="1:14" x14ac:dyDescent="0.25">
      <c r="A204">
        <v>203</v>
      </c>
      <c r="B204" s="1" t="s">
        <v>13</v>
      </c>
      <c r="C204">
        <v>10</v>
      </c>
      <c r="D204" s="1" t="s">
        <v>21</v>
      </c>
      <c r="E204" s="1" t="s">
        <v>35</v>
      </c>
      <c r="F204" s="1" t="s">
        <v>32</v>
      </c>
      <c r="G204" s="2">
        <v>44972</v>
      </c>
      <c r="H204">
        <v>3</v>
      </c>
      <c r="I204">
        <v>40084</v>
      </c>
      <c r="J204" s="1" t="s">
        <v>24</v>
      </c>
      <c r="K204">
        <v>2023</v>
      </c>
      <c r="L204" t="s">
        <v>46</v>
      </c>
      <c r="M204" t="s">
        <v>25</v>
      </c>
      <c r="N204">
        <v>2</v>
      </c>
    </row>
    <row r="205" spans="1:14" x14ac:dyDescent="0.25">
      <c r="A205">
        <v>204</v>
      </c>
      <c r="B205" s="1" t="s">
        <v>13</v>
      </c>
      <c r="C205">
        <v>67</v>
      </c>
      <c r="D205" s="1" t="s">
        <v>30</v>
      </c>
      <c r="E205" s="1" t="s">
        <v>27</v>
      </c>
      <c r="F205" s="1" t="s">
        <v>28</v>
      </c>
      <c r="G205" s="2">
        <v>44992</v>
      </c>
      <c r="H205">
        <v>3</v>
      </c>
      <c r="I205">
        <v>18244</v>
      </c>
      <c r="J205" s="1" t="s">
        <v>24</v>
      </c>
      <c r="K205">
        <v>2023</v>
      </c>
      <c r="L205" t="s">
        <v>43</v>
      </c>
      <c r="M205" t="s">
        <v>19</v>
      </c>
      <c r="N205">
        <v>3</v>
      </c>
    </row>
    <row r="206" spans="1:14" x14ac:dyDescent="0.25">
      <c r="A206">
        <v>205</v>
      </c>
      <c r="B206" s="1" t="s">
        <v>20</v>
      </c>
      <c r="C206">
        <v>18</v>
      </c>
      <c r="D206" s="1" t="s">
        <v>34</v>
      </c>
      <c r="E206" s="1" t="s">
        <v>31</v>
      </c>
      <c r="F206" s="1" t="s">
        <v>23</v>
      </c>
      <c r="G206" s="2">
        <v>45282</v>
      </c>
      <c r="H206">
        <v>2</v>
      </c>
      <c r="I206">
        <v>29356</v>
      </c>
      <c r="J206" s="1" t="s">
        <v>24</v>
      </c>
      <c r="K206">
        <v>2023</v>
      </c>
      <c r="L206" t="s">
        <v>26</v>
      </c>
      <c r="M206" t="s">
        <v>29</v>
      </c>
      <c r="N206">
        <v>12</v>
      </c>
    </row>
    <row r="207" spans="1:14" x14ac:dyDescent="0.25">
      <c r="A207">
        <v>206</v>
      </c>
      <c r="B207" s="1" t="s">
        <v>13</v>
      </c>
      <c r="C207">
        <v>86</v>
      </c>
      <c r="D207" s="1" t="s">
        <v>45</v>
      </c>
      <c r="E207" s="1" t="s">
        <v>35</v>
      </c>
      <c r="F207" s="1" t="s">
        <v>16</v>
      </c>
      <c r="G207" s="2">
        <v>44938</v>
      </c>
      <c r="H207">
        <v>9</v>
      </c>
      <c r="I207">
        <v>18806</v>
      </c>
      <c r="J207" s="1" t="s">
        <v>24</v>
      </c>
      <c r="K207">
        <v>2023</v>
      </c>
      <c r="L207" t="s">
        <v>48</v>
      </c>
      <c r="M207" t="s">
        <v>19</v>
      </c>
      <c r="N207">
        <v>1</v>
      </c>
    </row>
    <row r="208" spans="1:14" x14ac:dyDescent="0.25">
      <c r="A208">
        <v>207</v>
      </c>
      <c r="B208" s="1" t="s">
        <v>20</v>
      </c>
      <c r="C208">
        <v>34</v>
      </c>
      <c r="D208" s="1" t="s">
        <v>37</v>
      </c>
      <c r="E208" s="1" t="s">
        <v>15</v>
      </c>
      <c r="F208" s="1" t="s">
        <v>32</v>
      </c>
      <c r="G208" s="2">
        <v>45173</v>
      </c>
      <c r="H208">
        <v>13</v>
      </c>
      <c r="I208">
        <v>25099</v>
      </c>
      <c r="J208" s="1" t="s">
        <v>24</v>
      </c>
      <c r="K208">
        <v>2023</v>
      </c>
      <c r="L208" t="s">
        <v>44</v>
      </c>
      <c r="M208" t="s">
        <v>29</v>
      </c>
      <c r="N208">
        <v>9</v>
      </c>
    </row>
    <row r="209" spans="1:14" x14ac:dyDescent="0.25">
      <c r="A209">
        <v>208</v>
      </c>
      <c r="B209" s="1" t="s">
        <v>20</v>
      </c>
      <c r="C209">
        <v>8</v>
      </c>
      <c r="D209" s="1" t="s">
        <v>45</v>
      </c>
      <c r="E209" s="1" t="s">
        <v>15</v>
      </c>
      <c r="F209" s="1" t="s">
        <v>16</v>
      </c>
      <c r="G209" s="2">
        <v>45244</v>
      </c>
      <c r="H209">
        <v>3</v>
      </c>
      <c r="I209">
        <v>46641</v>
      </c>
      <c r="J209" s="1" t="s">
        <v>24</v>
      </c>
      <c r="K209">
        <v>2023</v>
      </c>
      <c r="L209" t="s">
        <v>18</v>
      </c>
      <c r="M209" t="s">
        <v>25</v>
      </c>
      <c r="N209">
        <v>11</v>
      </c>
    </row>
    <row r="210" spans="1:14" x14ac:dyDescent="0.25">
      <c r="A210">
        <v>209</v>
      </c>
      <c r="B210" s="1" t="s">
        <v>20</v>
      </c>
      <c r="C210">
        <v>40</v>
      </c>
      <c r="D210" s="1" t="s">
        <v>34</v>
      </c>
      <c r="E210" s="1" t="s">
        <v>15</v>
      </c>
      <c r="F210" s="1" t="s">
        <v>32</v>
      </c>
      <c r="G210" s="2">
        <v>45222</v>
      </c>
      <c r="H210">
        <v>11</v>
      </c>
      <c r="I210">
        <v>39034</v>
      </c>
      <c r="J210" s="1" t="s">
        <v>24</v>
      </c>
      <c r="K210">
        <v>2023</v>
      </c>
      <c r="L210" t="s">
        <v>41</v>
      </c>
      <c r="M210" t="s">
        <v>38</v>
      </c>
      <c r="N210">
        <v>10</v>
      </c>
    </row>
    <row r="211" spans="1:14" x14ac:dyDescent="0.25">
      <c r="A211">
        <v>210</v>
      </c>
      <c r="B211" s="1" t="s">
        <v>13</v>
      </c>
      <c r="C211">
        <v>83</v>
      </c>
      <c r="D211" s="1" t="s">
        <v>45</v>
      </c>
      <c r="E211" s="1" t="s">
        <v>27</v>
      </c>
      <c r="F211" s="1" t="s">
        <v>16</v>
      </c>
      <c r="G211" s="2">
        <v>44986</v>
      </c>
      <c r="H211">
        <v>5</v>
      </c>
      <c r="I211">
        <v>42317</v>
      </c>
      <c r="J211" s="1" t="s">
        <v>24</v>
      </c>
      <c r="K211">
        <v>2023</v>
      </c>
      <c r="L211" t="s">
        <v>43</v>
      </c>
      <c r="M211" t="s">
        <v>19</v>
      </c>
      <c r="N211">
        <v>3</v>
      </c>
    </row>
    <row r="212" spans="1:14" x14ac:dyDescent="0.25">
      <c r="A212">
        <v>211</v>
      </c>
      <c r="B212" s="1" t="s">
        <v>13</v>
      </c>
      <c r="C212">
        <v>42</v>
      </c>
      <c r="D212" s="1" t="s">
        <v>45</v>
      </c>
      <c r="E212" s="1" t="s">
        <v>27</v>
      </c>
      <c r="F212" s="1" t="s">
        <v>32</v>
      </c>
      <c r="G212" s="2">
        <v>44927</v>
      </c>
      <c r="H212">
        <v>14</v>
      </c>
      <c r="I212">
        <v>21094</v>
      </c>
      <c r="J212" s="1" t="s">
        <v>24</v>
      </c>
      <c r="K212">
        <v>2023</v>
      </c>
      <c r="L212" t="s">
        <v>48</v>
      </c>
      <c r="M212" t="s">
        <v>38</v>
      </c>
      <c r="N212">
        <v>1</v>
      </c>
    </row>
    <row r="213" spans="1:14" x14ac:dyDescent="0.25">
      <c r="A213">
        <v>212</v>
      </c>
      <c r="B213" s="1" t="s">
        <v>13</v>
      </c>
      <c r="C213">
        <v>41</v>
      </c>
      <c r="D213" s="1" t="s">
        <v>34</v>
      </c>
      <c r="E213" s="1" t="s">
        <v>35</v>
      </c>
      <c r="F213" s="1" t="s">
        <v>32</v>
      </c>
      <c r="G213" s="2">
        <v>45218</v>
      </c>
      <c r="H213">
        <v>14</v>
      </c>
      <c r="I213">
        <v>12589</v>
      </c>
      <c r="J213" s="1" t="s">
        <v>24</v>
      </c>
      <c r="K213">
        <v>2023</v>
      </c>
      <c r="L213" t="s">
        <v>41</v>
      </c>
      <c r="M213" t="s">
        <v>38</v>
      </c>
      <c r="N213">
        <v>10</v>
      </c>
    </row>
    <row r="214" spans="1:14" x14ac:dyDescent="0.25">
      <c r="A214">
        <v>213</v>
      </c>
      <c r="B214" s="1" t="s">
        <v>13</v>
      </c>
      <c r="C214">
        <v>6</v>
      </c>
      <c r="D214" s="1" t="s">
        <v>14</v>
      </c>
      <c r="E214" s="1" t="s">
        <v>31</v>
      </c>
      <c r="F214" s="1" t="s">
        <v>32</v>
      </c>
      <c r="G214" s="2">
        <v>45040</v>
      </c>
      <c r="H214">
        <v>9</v>
      </c>
      <c r="I214">
        <v>3657</v>
      </c>
      <c r="J214" s="1" t="s">
        <v>24</v>
      </c>
      <c r="K214">
        <v>2023</v>
      </c>
      <c r="L214" t="s">
        <v>33</v>
      </c>
      <c r="M214" t="s">
        <v>25</v>
      </c>
      <c r="N214">
        <v>4</v>
      </c>
    </row>
    <row r="215" spans="1:14" x14ac:dyDescent="0.25">
      <c r="A215">
        <v>214</v>
      </c>
      <c r="B215" s="1" t="s">
        <v>13</v>
      </c>
      <c r="C215">
        <v>52</v>
      </c>
      <c r="D215" s="1" t="s">
        <v>45</v>
      </c>
      <c r="E215" s="1" t="s">
        <v>35</v>
      </c>
      <c r="F215" s="1" t="s">
        <v>32</v>
      </c>
      <c r="G215" s="2">
        <v>45099</v>
      </c>
      <c r="H215">
        <v>8</v>
      </c>
      <c r="I215">
        <v>34764</v>
      </c>
      <c r="J215" s="1" t="s">
        <v>24</v>
      </c>
      <c r="K215">
        <v>2023</v>
      </c>
      <c r="L215" t="s">
        <v>40</v>
      </c>
      <c r="M215" t="s">
        <v>38</v>
      </c>
      <c r="N215">
        <v>6</v>
      </c>
    </row>
    <row r="216" spans="1:14" x14ac:dyDescent="0.25">
      <c r="A216">
        <v>215</v>
      </c>
      <c r="B216" s="1" t="s">
        <v>13</v>
      </c>
      <c r="C216">
        <v>26</v>
      </c>
      <c r="D216" s="1" t="s">
        <v>21</v>
      </c>
      <c r="E216" s="1" t="s">
        <v>22</v>
      </c>
      <c r="F216" s="1" t="s">
        <v>32</v>
      </c>
      <c r="G216" s="2">
        <v>45228</v>
      </c>
      <c r="H216">
        <v>2</v>
      </c>
      <c r="I216">
        <v>41531</v>
      </c>
      <c r="J216" s="1" t="s">
        <v>24</v>
      </c>
      <c r="K216">
        <v>2023</v>
      </c>
      <c r="L216" t="s">
        <v>41</v>
      </c>
      <c r="M216" t="s">
        <v>29</v>
      </c>
      <c r="N216">
        <v>10</v>
      </c>
    </row>
    <row r="217" spans="1:14" x14ac:dyDescent="0.25">
      <c r="A217">
        <v>216</v>
      </c>
      <c r="B217" s="1" t="s">
        <v>13</v>
      </c>
      <c r="C217">
        <v>64</v>
      </c>
      <c r="D217" s="1" t="s">
        <v>21</v>
      </c>
      <c r="E217" s="1" t="s">
        <v>15</v>
      </c>
      <c r="F217" s="1" t="s">
        <v>32</v>
      </c>
      <c r="G217" s="2">
        <v>45214</v>
      </c>
      <c r="H217">
        <v>3</v>
      </c>
      <c r="I217">
        <v>5164</v>
      </c>
      <c r="J217" s="1" t="s">
        <v>17</v>
      </c>
      <c r="K217">
        <v>2023</v>
      </c>
      <c r="L217" t="s">
        <v>41</v>
      </c>
      <c r="M217" t="s">
        <v>19</v>
      </c>
      <c r="N217">
        <v>10</v>
      </c>
    </row>
    <row r="218" spans="1:14" x14ac:dyDescent="0.25">
      <c r="A218">
        <v>217</v>
      </c>
      <c r="B218" s="1" t="s">
        <v>20</v>
      </c>
      <c r="C218">
        <v>59</v>
      </c>
      <c r="D218" s="1" t="s">
        <v>45</v>
      </c>
      <c r="E218" s="1" t="s">
        <v>15</v>
      </c>
      <c r="F218" s="1" t="s">
        <v>32</v>
      </c>
      <c r="G218" s="2">
        <v>44928</v>
      </c>
      <c r="H218">
        <v>2</v>
      </c>
      <c r="I218">
        <v>29542</v>
      </c>
      <c r="J218" s="1" t="s">
        <v>39</v>
      </c>
      <c r="K218">
        <v>2023</v>
      </c>
      <c r="L218" t="s">
        <v>48</v>
      </c>
      <c r="M218" t="s">
        <v>38</v>
      </c>
      <c r="N218">
        <v>1</v>
      </c>
    </row>
    <row r="219" spans="1:14" x14ac:dyDescent="0.25">
      <c r="A219">
        <v>218</v>
      </c>
      <c r="B219" s="1" t="s">
        <v>13</v>
      </c>
      <c r="C219">
        <v>56</v>
      </c>
      <c r="D219" s="1" t="s">
        <v>14</v>
      </c>
      <c r="E219" s="1" t="s">
        <v>15</v>
      </c>
      <c r="F219" s="1" t="s">
        <v>32</v>
      </c>
      <c r="G219" s="2">
        <v>45275</v>
      </c>
      <c r="H219">
        <v>8</v>
      </c>
      <c r="I219">
        <v>20437</v>
      </c>
      <c r="J219" s="1" t="s">
        <v>24</v>
      </c>
      <c r="K219">
        <v>2023</v>
      </c>
      <c r="L219" t="s">
        <v>26</v>
      </c>
      <c r="M219" t="s">
        <v>38</v>
      </c>
      <c r="N219">
        <v>12</v>
      </c>
    </row>
    <row r="220" spans="1:14" x14ac:dyDescent="0.25">
      <c r="A220">
        <v>219</v>
      </c>
      <c r="B220" s="1" t="s">
        <v>20</v>
      </c>
      <c r="C220">
        <v>59</v>
      </c>
      <c r="D220" s="1" t="s">
        <v>37</v>
      </c>
      <c r="E220" s="1" t="s">
        <v>35</v>
      </c>
      <c r="F220" s="1" t="s">
        <v>32</v>
      </c>
      <c r="G220" s="2">
        <v>45218</v>
      </c>
      <c r="H220">
        <v>6</v>
      </c>
      <c r="I220">
        <v>43247</v>
      </c>
      <c r="J220" s="1" t="s">
        <v>39</v>
      </c>
      <c r="K220">
        <v>2023</v>
      </c>
      <c r="L220" t="s">
        <v>41</v>
      </c>
      <c r="M220" t="s">
        <v>38</v>
      </c>
      <c r="N220">
        <v>10</v>
      </c>
    </row>
    <row r="221" spans="1:14" x14ac:dyDescent="0.25">
      <c r="A221">
        <v>220</v>
      </c>
      <c r="B221" s="1" t="s">
        <v>13</v>
      </c>
      <c r="C221">
        <v>70</v>
      </c>
      <c r="D221" s="1" t="s">
        <v>34</v>
      </c>
      <c r="E221" s="1" t="s">
        <v>35</v>
      </c>
      <c r="F221" s="1" t="s">
        <v>16</v>
      </c>
      <c r="G221" s="2">
        <v>44978</v>
      </c>
      <c r="H221">
        <v>6</v>
      </c>
      <c r="I221">
        <v>40505</v>
      </c>
      <c r="J221" s="1" t="s">
        <v>39</v>
      </c>
      <c r="K221">
        <v>2023</v>
      </c>
      <c r="L221" t="s">
        <v>46</v>
      </c>
      <c r="M221" t="s">
        <v>19</v>
      </c>
      <c r="N221">
        <v>2</v>
      </c>
    </row>
    <row r="222" spans="1:14" x14ac:dyDescent="0.25">
      <c r="A222">
        <v>221</v>
      </c>
      <c r="B222" s="1" t="s">
        <v>13</v>
      </c>
      <c r="C222">
        <v>33</v>
      </c>
      <c r="D222" s="1" t="s">
        <v>21</v>
      </c>
      <c r="E222" s="1" t="s">
        <v>15</v>
      </c>
      <c r="F222" s="1" t="s">
        <v>28</v>
      </c>
      <c r="G222" s="2">
        <v>45236</v>
      </c>
      <c r="H222">
        <v>12</v>
      </c>
      <c r="I222">
        <v>21601</v>
      </c>
      <c r="J222" s="1" t="s">
        <v>17</v>
      </c>
      <c r="K222">
        <v>2023</v>
      </c>
      <c r="L222" t="s">
        <v>18</v>
      </c>
      <c r="M222" t="s">
        <v>29</v>
      </c>
      <c r="N222">
        <v>11</v>
      </c>
    </row>
    <row r="223" spans="1:14" x14ac:dyDescent="0.25">
      <c r="A223">
        <v>222</v>
      </c>
      <c r="B223" s="1" t="s">
        <v>13</v>
      </c>
      <c r="C223">
        <v>53</v>
      </c>
      <c r="D223" s="1" t="s">
        <v>37</v>
      </c>
      <c r="E223" s="1" t="s">
        <v>35</v>
      </c>
      <c r="F223" s="1" t="s">
        <v>32</v>
      </c>
      <c r="G223" s="2">
        <v>45027</v>
      </c>
      <c r="H223">
        <v>9</v>
      </c>
      <c r="I223">
        <v>30430</v>
      </c>
      <c r="J223" s="1" t="s">
        <v>24</v>
      </c>
      <c r="K223">
        <v>2023</v>
      </c>
      <c r="L223" t="s">
        <v>33</v>
      </c>
      <c r="M223" t="s">
        <v>38</v>
      </c>
      <c r="N223">
        <v>4</v>
      </c>
    </row>
    <row r="224" spans="1:14" x14ac:dyDescent="0.25">
      <c r="A224">
        <v>223</v>
      </c>
      <c r="B224" s="1" t="s">
        <v>20</v>
      </c>
      <c r="C224">
        <v>22</v>
      </c>
      <c r="D224" s="1" t="s">
        <v>45</v>
      </c>
      <c r="E224" s="1" t="s">
        <v>27</v>
      </c>
      <c r="F224" s="1" t="s">
        <v>28</v>
      </c>
      <c r="G224" s="2">
        <v>45057</v>
      </c>
      <c r="H224">
        <v>8</v>
      </c>
      <c r="I224">
        <v>8009</v>
      </c>
      <c r="J224" s="1" t="s">
        <v>24</v>
      </c>
      <c r="K224">
        <v>2023</v>
      </c>
      <c r="L224" t="s">
        <v>42</v>
      </c>
      <c r="M224" t="s">
        <v>29</v>
      </c>
      <c r="N224">
        <v>5</v>
      </c>
    </row>
    <row r="225" spans="1:14" x14ac:dyDescent="0.25">
      <c r="A225">
        <v>224</v>
      </c>
      <c r="B225" s="1" t="s">
        <v>20</v>
      </c>
      <c r="C225">
        <v>21</v>
      </c>
      <c r="D225" s="1" t="s">
        <v>37</v>
      </c>
      <c r="E225" s="1" t="s">
        <v>27</v>
      </c>
      <c r="F225" s="1" t="s">
        <v>32</v>
      </c>
      <c r="G225" s="2">
        <v>45050</v>
      </c>
      <c r="H225">
        <v>4</v>
      </c>
      <c r="I225">
        <v>6552</v>
      </c>
      <c r="J225" s="1" t="s">
        <v>24</v>
      </c>
      <c r="K225">
        <v>2023</v>
      </c>
      <c r="L225" t="s">
        <v>42</v>
      </c>
      <c r="M225" t="s">
        <v>29</v>
      </c>
      <c r="N225">
        <v>5</v>
      </c>
    </row>
    <row r="226" spans="1:14" x14ac:dyDescent="0.25">
      <c r="A226">
        <v>225</v>
      </c>
      <c r="B226" s="1" t="s">
        <v>20</v>
      </c>
      <c r="C226">
        <v>70</v>
      </c>
      <c r="D226" s="1" t="s">
        <v>30</v>
      </c>
      <c r="E226" s="1" t="s">
        <v>35</v>
      </c>
      <c r="F226" s="1" t="s">
        <v>32</v>
      </c>
      <c r="G226" s="2">
        <v>45068</v>
      </c>
      <c r="H226">
        <v>12</v>
      </c>
      <c r="I226">
        <v>11417</v>
      </c>
      <c r="J226" s="1" t="s">
        <v>24</v>
      </c>
      <c r="K226">
        <v>2023</v>
      </c>
      <c r="L226" t="s">
        <v>42</v>
      </c>
      <c r="M226" t="s">
        <v>19</v>
      </c>
      <c r="N226">
        <v>5</v>
      </c>
    </row>
    <row r="227" spans="1:14" x14ac:dyDescent="0.25">
      <c r="A227">
        <v>226</v>
      </c>
      <c r="B227" s="1" t="s">
        <v>20</v>
      </c>
      <c r="C227">
        <v>70</v>
      </c>
      <c r="D227" s="1" t="s">
        <v>21</v>
      </c>
      <c r="E227" s="1" t="s">
        <v>15</v>
      </c>
      <c r="F227" s="1" t="s">
        <v>16</v>
      </c>
      <c r="G227" s="2">
        <v>45236</v>
      </c>
      <c r="H227">
        <v>4</v>
      </c>
      <c r="I227">
        <v>43989</v>
      </c>
      <c r="J227" s="1" t="s">
        <v>24</v>
      </c>
      <c r="K227">
        <v>2023</v>
      </c>
      <c r="L227" t="s">
        <v>18</v>
      </c>
      <c r="M227" t="s">
        <v>19</v>
      </c>
      <c r="N227">
        <v>11</v>
      </c>
    </row>
    <row r="228" spans="1:14" x14ac:dyDescent="0.25">
      <c r="A228">
        <v>227</v>
      </c>
      <c r="B228" s="1" t="s">
        <v>13</v>
      </c>
      <c r="C228">
        <v>4</v>
      </c>
      <c r="D228" s="1" t="s">
        <v>45</v>
      </c>
      <c r="E228" s="1" t="s">
        <v>35</v>
      </c>
      <c r="F228" s="1" t="s">
        <v>23</v>
      </c>
      <c r="G228" s="2">
        <v>45096</v>
      </c>
      <c r="H228">
        <v>9</v>
      </c>
      <c r="I228">
        <v>4671</v>
      </c>
      <c r="J228" s="1" t="s">
        <v>24</v>
      </c>
      <c r="K228">
        <v>2023</v>
      </c>
      <c r="L228" t="s">
        <v>40</v>
      </c>
      <c r="M228" t="s">
        <v>25</v>
      </c>
      <c r="N228">
        <v>6</v>
      </c>
    </row>
    <row r="229" spans="1:14" x14ac:dyDescent="0.25">
      <c r="A229">
        <v>228</v>
      </c>
      <c r="B229" s="1" t="s">
        <v>20</v>
      </c>
      <c r="C229">
        <v>75</v>
      </c>
      <c r="D229" s="1" t="s">
        <v>34</v>
      </c>
      <c r="E229" s="1" t="s">
        <v>35</v>
      </c>
      <c r="F229" s="1" t="s">
        <v>23</v>
      </c>
      <c r="G229" s="2">
        <v>45268</v>
      </c>
      <c r="H229">
        <v>1</v>
      </c>
      <c r="I229">
        <v>8519</v>
      </c>
      <c r="J229" s="1" t="s">
        <v>39</v>
      </c>
      <c r="K229">
        <v>2023</v>
      </c>
      <c r="L229" t="s">
        <v>26</v>
      </c>
      <c r="M229" t="s">
        <v>19</v>
      </c>
      <c r="N229">
        <v>12</v>
      </c>
    </row>
    <row r="230" spans="1:14" x14ac:dyDescent="0.25">
      <c r="A230">
        <v>229</v>
      </c>
      <c r="B230" s="1" t="s">
        <v>13</v>
      </c>
      <c r="C230">
        <v>62</v>
      </c>
      <c r="D230" s="1" t="s">
        <v>14</v>
      </c>
      <c r="E230" s="1" t="s">
        <v>35</v>
      </c>
      <c r="F230" s="1" t="s">
        <v>16</v>
      </c>
      <c r="G230" s="2">
        <v>45283</v>
      </c>
      <c r="H230">
        <v>13</v>
      </c>
      <c r="I230">
        <v>38730</v>
      </c>
      <c r="J230" s="1" t="s">
        <v>17</v>
      </c>
      <c r="K230">
        <v>2023</v>
      </c>
      <c r="L230" t="s">
        <v>26</v>
      </c>
      <c r="M230" t="s">
        <v>19</v>
      </c>
      <c r="N230">
        <v>12</v>
      </c>
    </row>
    <row r="231" spans="1:14" x14ac:dyDescent="0.25">
      <c r="A231">
        <v>230</v>
      </c>
      <c r="B231" s="1" t="s">
        <v>13</v>
      </c>
      <c r="C231">
        <v>62</v>
      </c>
      <c r="D231" s="1" t="s">
        <v>45</v>
      </c>
      <c r="E231" s="1" t="s">
        <v>22</v>
      </c>
      <c r="F231" s="1" t="s">
        <v>28</v>
      </c>
      <c r="G231" s="2">
        <v>45164</v>
      </c>
      <c r="H231">
        <v>2</v>
      </c>
      <c r="I231">
        <v>14734</v>
      </c>
      <c r="J231" s="1" t="s">
        <v>24</v>
      </c>
      <c r="K231">
        <v>2023</v>
      </c>
      <c r="L231" t="s">
        <v>47</v>
      </c>
      <c r="M231" t="s">
        <v>19</v>
      </c>
      <c r="N231">
        <v>8</v>
      </c>
    </row>
    <row r="232" spans="1:14" x14ac:dyDescent="0.25">
      <c r="A232">
        <v>231</v>
      </c>
      <c r="B232" s="1" t="s">
        <v>20</v>
      </c>
      <c r="C232">
        <v>24</v>
      </c>
      <c r="D232" s="1" t="s">
        <v>34</v>
      </c>
      <c r="E232" s="1" t="s">
        <v>27</v>
      </c>
      <c r="F232" s="1" t="s">
        <v>23</v>
      </c>
      <c r="G232" s="2">
        <v>45098</v>
      </c>
      <c r="H232">
        <v>2</v>
      </c>
      <c r="I232">
        <v>47890</v>
      </c>
      <c r="J232" s="1" t="s">
        <v>24</v>
      </c>
      <c r="K232">
        <v>2023</v>
      </c>
      <c r="L232" t="s">
        <v>40</v>
      </c>
      <c r="M232" t="s">
        <v>29</v>
      </c>
      <c r="N232">
        <v>6</v>
      </c>
    </row>
    <row r="233" spans="1:14" x14ac:dyDescent="0.25">
      <c r="A233">
        <v>232</v>
      </c>
      <c r="B233" s="1" t="s">
        <v>20</v>
      </c>
      <c r="C233">
        <v>55</v>
      </c>
      <c r="D233" s="1" t="s">
        <v>14</v>
      </c>
      <c r="E233" s="1" t="s">
        <v>31</v>
      </c>
      <c r="F233" s="1" t="s">
        <v>16</v>
      </c>
      <c r="G233" s="2">
        <v>45202</v>
      </c>
      <c r="H233">
        <v>13</v>
      </c>
      <c r="I233">
        <v>5722</v>
      </c>
      <c r="J233" s="1" t="s">
        <v>24</v>
      </c>
      <c r="K233">
        <v>2023</v>
      </c>
      <c r="L233" t="s">
        <v>41</v>
      </c>
      <c r="M233" t="s">
        <v>38</v>
      </c>
      <c r="N233">
        <v>10</v>
      </c>
    </row>
    <row r="234" spans="1:14" x14ac:dyDescent="0.25">
      <c r="A234">
        <v>233</v>
      </c>
      <c r="B234" s="1" t="s">
        <v>20</v>
      </c>
      <c r="C234">
        <v>9</v>
      </c>
      <c r="D234" s="1" t="s">
        <v>14</v>
      </c>
      <c r="E234" s="1" t="s">
        <v>31</v>
      </c>
      <c r="F234" s="1" t="s">
        <v>16</v>
      </c>
      <c r="G234" s="2">
        <v>45229</v>
      </c>
      <c r="H234">
        <v>13</v>
      </c>
      <c r="I234">
        <v>6906</v>
      </c>
      <c r="J234" s="1" t="s">
        <v>39</v>
      </c>
      <c r="K234">
        <v>2023</v>
      </c>
      <c r="L234" t="s">
        <v>41</v>
      </c>
      <c r="M234" t="s">
        <v>25</v>
      </c>
      <c r="N234">
        <v>10</v>
      </c>
    </row>
    <row r="235" spans="1:14" x14ac:dyDescent="0.25">
      <c r="A235">
        <v>234</v>
      </c>
      <c r="B235" s="1" t="s">
        <v>20</v>
      </c>
      <c r="C235">
        <v>3</v>
      </c>
      <c r="D235" s="1" t="s">
        <v>45</v>
      </c>
      <c r="E235" s="1" t="s">
        <v>22</v>
      </c>
      <c r="F235" s="1" t="s">
        <v>23</v>
      </c>
      <c r="G235" s="2">
        <v>45288</v>
      </c>
      <c r="H235">
        <v>6</v>
      </c>
      <c r="I235">
        <v>32096</v>
      </c>
      <c r="J235" s="1" t="s">
        <v>24</v>
      </c>
      <c r="K235">
        <v>2023</v>
      </c>
      <c r="L235" t="s">
        <v>26</v>
      </c>
      <c r="M235" t="s">
        <v>25</v>
      </c>
      <c r="N235">
        <v>12</v>
      </c>
    </row>
    <row r="236" spans="1:14" x14ac:dyDescent="0.25">
      <c r="A236">
        <v>235</v>
      </c>
      <c r="B236" s="1" t="s">
        <v>20</v>
      </c>
      <c r="C236">
        <v>31</v>
      </c>
      <c r="D236" s="1" t="s">
        <v>37</v>
      </c>
      <c r="E236" s="1" t="s">
        <v>35</v>
      </c>
      <c r="F236" s="1" t="s">
        <v>28</v>
      </c>
      <c r="G236" s="2">
        <v>45212</v>
      </c>
      <c r="H236">
        <v>4</v>
      </c>
      <c r="I236">
        <v>42031</v>
      </c>
      <c r="J236" s="1" t="s">
        <v>24</v>
      </c>
      <c r="K236">
        <v>2023</v>
      </c>
      <c r="L236" t="s">
        <v>41</v>
      </c>
      <c r="M236" t="s">
        <v>29</v>
      </c>
      <c r="N236">
        <v>10</v>
      </c>
    </row>
    <row r="237" spans="1:14" x14ac:dyDescent="0.25">
      <c r="A237">
        <v>236</v>
      </c>
      <c r="B237" s="1" t="s">
        <v>20</v>
      </c>
      <c r="C237">
        <v>40</v>
      </c>
      <c r="D237" s="1" t="s">
        <v>37</v>
      </c>
      <c r="E237" s="1" t="s">
        <v>22</v>
      </c>
      <c r="F237" s="1" t="s">
        <v>16</v>
      </c>
      <c r="G237" s="2">
        <v>45026</v>
      </c>
      <c r="H237">
        <v>13</v>
      </c>
      <c r="I237">
        <v>15699</v>
      </c>
      <c r="J237" s="1" t="s">
        <v>24</v>
      </c>
      <c r="K237">
        <v>2023</v>
      </c>
      <c r="L237" t="s">
        <v>33</v>
      </c>
      <c r="M237" t="s">
        <v>38</v>
      </c>
      <c r="N237">
        <v>4</v>
      </c>
    </row>
    <row r="238" spans="1:14" x14ac:dyDescent="0.25">
      <c r="A238">
        <v>237</v>
      </c>
      <c r="B238" s="1" t="s">
        <v>20</v>
      </c>
      <c r="C238">
        <v>36</v>
      </c>
      <c r="D238" s="1" t="s">
        <v>14</v>
      </c>
      <c r="E238" s="1" t="s">
        <v>22</v>
      </c>
      <c r="F238" s="1" t="s">
        <v>32</v>
      </c>
      <c r="G238" s="2">
        <v>44943</v>
      </c>
      <c r="H238">
        <v>11</v>
      </c>
      <c r="I238">
        <v>23438</v>
      </c>
      <c r="J238" s="1" t="s">
        <v>24</v>
      </c>
      <c r="K238">
        <v>2023</v>
      </c>
      <c r="L238" t="s">
        <v>48</v>
      </c>
      <c r="M238" t="s">
        <v>29</v>
      </c>
      <c r="N238">
        <v>1</v>
      </c>
    </row>
    <row r="239" spans="1:14" x14ac:dyDescent="0.25">
      <c r="A239">
        <v>238</v>
      </c>
      <c r="B239" s="1" t="s">
        <v>20</v>
      </c>
      <c r="C239">
        <v>24</v>
      </c>
      <c r="D239" s="1" t="s">
        <v>37</v>
      </c>
      <c r="E239" s="1" t="s">
        <v>15</v>
      </c>
      <c r="F239" s="1" t="s">
        <v>28</v>
      </c>
      <c r="G239" s="2">
        <v>45054</v>
      </c>
      <c r="H239">
        <v>10</v>
      </c>
      <c r="I239">
        <v>45856</v>
      </c>
      <c r="J239" s="1" t="s">
        <v>24</v>
      </c>
      <c r="K239">
        <v>2023</v>
      </c>
      <c r="L239" t="s">
        <v>42</v>
      </c>
      <c r="M239" t="s">
        <v>29</v>
      </c>
      <c r="N239">
        <v>5</v>
      </c>
    </row>
    <row r="240" spans="1:14" x14ac:dyDescent="0.25">
      <c r="A240">
        <v>239</v>
      </c>
      <c r="B240" s="1" t="s">
        <v>13</v>
      </c>
      <c r="C240">
        <v>6</v>
      </c>
      <c r="D240" s="1" t="s">
        <v>30</v>
      </c>
      <c r="E240" s="1" t="s">
        <v>27</v>
      </c>
      <c r="F240" s="1" t="s">
        <v>28</v>
      </c>
      <c r="G240" s="2">
        <v>45265</v>
      </c>
      <c r="H240">
        <v>13</v>
      </c>
      <c r="I240">
        <v>35576</v>
      </c>
      <c r="J240" s="1" t="s">
        <v>24</v>
      </c>
      <c r="K240">
        <v>2023</v>
      </c>
      <c r="L240" t="s">
        <v>26</v>
      </c>
      <c r="M240" t="s">
        <v>25</v>
      </c>
      <c r="N240">
        <v>12</v>
      </c>
    </row>
    <row r="241" spans="1:14" x14ac:dyDescent="0.25">
      <c r="A241">
        <v>240</v>
      </c>
      <c r="B241" s="1" t="s">
        <v>20</v>
      </c>
      <c r="C241">
        <v>66</v>
      </c>
      <c r="D241" s="1" t="s">
        <v>14</v>
      </c>
      <c r="E241" s="1" t="s">
        <v>31</v>
      </c>
      <c r="F241" s="1" t="s">
        <v>23</v>
      </c>
      <c r="G241" s="2">
        <v>45292</v>
      </c>
      <c r="H241">
        <v>3</v>
      </c>
      <c r="I241">
        <v>43938</v>
      </c>
      <c r="J241" s="1" t="s">
        <v>39</v>
      </c>
      <c r="K241">
        <v>2024</v>
      </c>
      <c r="L241" t="s">
        <v>48</v>
      </c>
      <c r="M241" t="s">
        <v>19</v>
      </c>
      <c r="N241">
        <v>1</v>
      </c>
    </row>
    <row r="242" spans="1:14" x14ac:dyDescent="0.25">
      <c r="A242">
        <v>241</v>
      </c>
      <c r="B242" s="1" t="s">
        <v>20</v>
      </c>
      <c r="C242">
        <v>84</v>
      </c>
      <c r="D242" s="1" t="s">
        <v>14</v>
      </c>
      <c r="E242" s="1" t="s">
        <v>35</v>
      </c>
      <c r="F242" s="1" t="s">
        <v>23</v>
      </c>
      <c r="G242" s="2">
        <v>44996</v>
      </c>
      <c r="H242">
        <v>3</v>
      </c>
      <c r="I242">
        <v>34247</v>
      </c>
      <c r="J242" s="1" t="s">
        <v>17</v>
      </c>
      <c r="K242">
        <v>2023</v>
      </c>
      <c r="L242" t="s">
        <v>43</v>
      </c>
      <c r="M242" t="s">
        <v>19</v>
      </c>
      <c r="N242">
        <v>3</v>
      </c>
    </row>
    <row r="243" spans="1:14" x14ac:dyDescent="0.25">
      <c r="A243">
        <v>242</v>
      </c>
      <c r="B243" s="1" t="s">
        <v>13</v>
      </c>
      <c r="C243">
        <v>75</v>
      </c>
      <c r="D243" s="1" t="s">
        <v>34</v>
      </c>
      <c r="E243" s="1" t="s">
        <v>31</v>
      </c>
      <c r="F243" s="1" t="s">
        <v>32</v>
      </c>
      <c r="G243" s="2">
        <v>45147</v>
      </c>
      <c r="H243">
        <v>3</v>
      </c>
      <c r="I243">
        <v>45461</v>
      </c>
      <c r="J243" s="1" t="s">
        <v>17</v>
      </c>
      <c r="K243">
        <v>2023</v>
      </c>
      <c r="L243" t="s">
        <v>47</v>
      </c>
      <c r="M243" t="s">
        <v>19</v>
      </c>
      <c r="N243">
        <v>8</v>
      </c>
    </row>
    <row r="244" spans="1:14" x14ac:dyDescent="0.25">
      <c r="A244">
        <v>243</v>
      </c>
      <c r="B244" s="1" t="s">
        <v>20</v>
      </c>
      <c r="C244">
        <v>4</v>
      </c>
      <c r="D244" s="1" t="s">
        <v>37</v>
      </c>
      <c r="E244" s="1" t="s">
        <v>31</v>
      </c>
      <c r="F244" s="1" t="s">
        <v>16</v>
      </c>
      <c r="G244" s="2">
        <v>44936</v>
      </c>
      <c r="H244">
        <v>6</v>
      </c>
      <c r="I244">
        <v>29938</v>
      </c>
      <c r="J244" s="1" t="s">
        <v>17</v>
      </c>
      <c r="K244">
        <v>2023</v>
      </c>
      <c r="L244" t="s">
        <v>48</v>
      </c>
      <c r="M244" t="s">
        <v>25</v>
      </c>
      <c r="N244">
        <v>1</v>
      </c>
    </row>
    <row r="245" spans="1:14" x14ac:dyDescent="0.25">
      <c r="A245">
        <v>244</v>
      </c>
      <c r="B245" s="1" t="s">
        <v>13</v>
      </c>
      <c r="C245">
        <v>79</v>
      </c>
      <c r="D245" s="1" t="s">
        <v>14</v>
      </c>
      <c r="E245" s="1" t="s">
        <v>27</v>
      </c>
      <c r="F245" s="1" t="s">
        <v>23</v>
      </c>
      <c r="G245" s="2">
        <v>45088</v>
      </c>
      <c r="H245">
        <v>14</v>
      </c>
      <c r="I245">
        <v>42469</v>
      </c>
      <c r="J245" s="1" t="s">
        <v>24</v>
      </c>
      <c r="K245">
        <v>2023</v>
      </c>
      <c r="L245" t="s">
        <v>40</v>
      </c>
      <c r="M245" t="s">
        <v>19</v>
      </c>
      <c r="N245">
        <v>6</v>
      </c>
    </row>
    <row r="246" spans="1:14" x14ac:dyDescent="0.25">
      <c r="A246">
        <v>245</v>
      </c>
      <c r="B246" s="1" t="s">
        <v>13</v>
      </c>
      <c r="C246">
        <v>6</v>
      </c>
      <c r="D246" s="1" t="s">
        <v>30</v>
      </c>
      <c r="E246" s="1" t="s">
        <v>31</v>
      </c>
      <c r="F246" s="1" t="s">
        <v>23</v>
      </c>
      <c r="G246" s="2">
        <v>45139</v>
      </c>
      <c r="H246">
        <v>8</v>
      </c>
      <c r="I246">
        <v>19600</v>
      </c>
      <c r="J246" s="1" t="s">
        <v>24</v>
      </c>
      <c r="K246">
        <v>2023</v>
      </c>
      <c r="L246" t="s">
        <v>47</v>
      </c>
      <c r="M246" t="s">
        <v>25</v>
      </c>
      <c r="N246">
        <v>8</v>
      </c>
    </row>
    <row r="247" spans="1:14" x14ac:dyDescent="0.25">
      <c r="A247">
        <v>246</v>
      </c>
      <c r="B247" s="1" t="s">
        <v>20</v>
      </c>
      <c r="C247">
        <v>51</v>
      </c>
      <c r="D247" s="1" t="s">
        <v>34</v>
      </c>
      <c r="E247" s="1" t="s">
        <v>31</v>
      </c>
      <c r="F247" s="1" t="s">
        <v>28</v>
      </c>
      <c r="G247" s="2">
        <v>45134</v>
      </c>
      <c r="H247">
        <v>11</v>
      </c>
      <c r="I247">
        <v>22435</v>
      </c>
      <c r="J247" s="1" t="s">
        <v>39</v>
      </c>
      <c r="K247">
        <v>2023</v>
      </c>
      <c r="L247" t="s">
        <v>36</v>
      </c>
      <c r="M247" t="s">
        <v>38</v>
      </c>
      <c r="N247">
        <v>7</v>
      </c>
    </row>
    <row r="248" spans="1:14" x14ac:dyDescent="0.25">
      <c r="A248">
        <v>247</v>
      </c>
      <c r="B248" s="1" t="s">
        <v>13</v>
      </c>
      <c r="C248">
        <v>62</v>
      </c>
      <c r="D248" s="1" t="s">
        <v>45</v>
      </c>
      <c r="E248" s="1" t="s">
        <v>22</v>
      </c>
      <c r="F248" s="1" t="s">
        <v>23</v>
      </c>
      <c r="G248" s="2">
        <v>44961</v>
      </c>
      <c r="H248">
        <v>7</v>
      </c>
      <c r="I248">
        <v>20581</v>
      </c>
      <c r="J248" s="1" t="s">
        <v>17</v>
      </c>
      <c r="K248">
        <v>2023</v>
      </c>
      <c r="L248" t="s">
        <v>46</v>
      </c>
      <c r="M248" t="s">
        <v>19</v>
      </c>
      <c r="N248">
        <v>2</v>
      </c>
    </row>
    <row r="249" spans="1:14" x14ac:dyDescent="0.25">
      <c r="A249">
        <v>248</v>
      </c>
      <c r="B249" s="1" t="s">
        <v>13</v>
      </c>
      <c r="C249">
        <v>57</v>
      </c>
      <c r="D249" s="1" t="s">
        <v>14</v>
      </c>
      <c r="E249" s="1" t="s">
        <v>27</v>
      </c>
      <c r="F249" s="1" t="s">
        <v>23</v>
      </c>
      <c r="G249" s="2">
        <v>45080</v>
      </c>
      <c r="H249">
        <v>14</v>
      </c>
      <c r="I249">
        <v>16191</v>
      </c>
      <c r="J249" s="1" t="s">
        <v>24</v>
      </c>
      <c r="K249">
        <v>2023</v>
      </c>
      <c r="L249" t="s">
        <v>40</v>
      </c>
      <c r="M249" t="s">
        <v>38</v>
      </c>
      <c r="N249">
        <v>6</v>
      </c>
    </row>
    <row r="250" spans="1:14" x14ac:dyDescent="0.25">
      <c r="A250">
        <v>249</v>
      </c>
      <c r="B250" s="1" t="s">
        <v>13</v>
      </c>
      <c r="C250">
        <v>66</v>
      </c>
      <c r="D250" s="1" t="s">
        <v>30</v>
      </c>
      <c r="E250" s="1" t="s">
        <v>15</v>
      </c>
      <c r="F250" s="1" t="s">
        <v>23</v>
      </c>
      <c r="G250" s="2">
        <v>45248</v>
      </c>
      <c r="H250">
        <v>4</v>
      </c>
      <c r="I250">
        <v>21190</v>
      </c>
      <c r="J250" s="1" t="s">
        <v>24</v>
      </c>
      <c r="K250">
        <v>2023</v>
      </c>
      <c r="L250" t="s">
        <v>18</v>
      </c>
      <c r="M250" t="s">
        <v>19</v>
      </c>
      <c r="N250">
        <v>11</v>
      </c>
    </row>
    <row r="251" spans="1:14" x14ac:dyDescent="0.25">
      <c r="A251">
        <v>250</v>
      </c>
      <c r="B251" s="1" t="s">
        <v>13</v>
      </c>
      <c r="C251">
        <v>79</v>
      </c>
      <c r="D251" s="1" t="s">
        <v>21</v>
      </c>
      <c r="E251" s="1" t="s">
        <v>35</v>
      </c>
      <c r="F251" s="1" t="s">
        <v>23</v>
      </c>
      <c r="G251" s="2">
        <v>44978</v>
      </c>
      <c r="H251">
        <v>11</v>
      </c>
      <c r="I251">
        <v>29386</v>
      </c>
      <c r="J251" s="1" t="s">
        <v>24</v>
      </c>
      <c r="K251">
        <v>2023</v>
      </c>
      <c r="L251" t="s">
        <v>46</v>
      </c>
      <c r="M251" t="s">
        <v>19</v>
      </c>
      <c r="N251">
        <v>2</v>
      </c>
    </row>
    <row r="252" spans="1:14" x14ac:dyDescent="0.25">
      <c r="A252">
        <v>251</v>
      </c>
      <c r="B252" s="1" t="s">
        <v>20</v>
      </c>
      <c r="C252">
        <v>75</v>
      </c>
      <c r="D252" s="1" t="s">
        <v>30</v>
      </c>
      <c r="E252" s="1" t="s">
        <v>31</v>
      </c>
      <c r="F252" s="1" t="s">
        <v>28</v>
      </c>
      <c r="G252" s="2">
        <v>45272</v>
      </c>
      <c r="H252">
        <v>12</v>
      </c>
      <c r="I252">
        <v>33721</v>
      </c>
      <c r="J252" s="1" t="s">
        <v>24</v>
      </c>
      <c r="K252">
        <v>2023</v>
      </c>
      <c r="L252" t="s">
        <v>26</v>
      </c>
      <c r="M252" t="s">
        <v>19</v>
      </c>
      <c r="N252">
        <v>12</v>
      </c>
    </row>
    <row r="253" spans="1:14" x14ac:dyDescent="0.25">
      <c r="A253">
        <v>252</v>
      </c>
      <c r="B253" s="1" t="s">
        <v>13</v>
      </c>
      <c r="C253">
        <v>8</v>
      </c>
      <c r="D253" s="1" t="s">
        <v>30</v>
      </c>
      <c r="E253" s="1" t="s">
        <v>35</v>
      </c>
      <c r="F253" s="1" t="s">
        <v>32</v>
      </c>
      <c r="G253" s="2">
        <v>45063</v>
      </c>
      <c r="H253">
        <v>4</v>
      </c>
      <c r="I253">
        <v>15704</v>
      </c>
      <c r="J253" s="1" t="s">
        <v>24</v>
      </c>
      <c r="K253">
        <v>2023</v>
      </c>
      <c r="L253" t="s">
        <v>42</v>
      </c>
      <c r="M253" t="s">
        <v>25</v>
      </c>
      <c r="N253">
        <v>5</v>
      </c>
    </row>
    <row r="254" spans="1:14" x14ac:dyDescent="0.25">
      <c r="A254">
        <v>253</v>
      </c>
      <c r="B254" s="1" t="s">
        <v>20</v>
      </c>
      <c r="C254">
        <v>26</v>
      </c>
      <c r="D254" s="1" t="s">
        <v>34</v>
      </c>
      <c r="E254" s="1" t="s">
        <v>15</v>
      </c>
      <c r="F254" s="1" t="s">
        <v>32</v>
      </c>
      <c r="G254" s="2">
        <v>45075</v>
      </c>
      <c r="H254">
        <v>11</v>
      </c>
      <c r="I254">
        <v>4123</v>
      </c>
      <c r="J254" s="1" t="s">
        <v>24</v>
      </c>
      <c r="K254">
        <v>2023</v>
      </c>
      <c r="L254" t="s">
        <v>42</v>
      </c>
      <c r="M254" t="s">
        <v>29</v>
      </c>
      <c r="N254">
        <v>5</v>
      </c>
    </row>
    <row r="255" spans="1:14" x14ac:dyDescent="0.25">
      <c r="A255">
        <v>254</v>
      </c>
      <c r="B255" s="1" t="s">
        <v>13</v>
      </c>
      <c r="C255">
        <v>51</v>
      </c>
      <c r="D255" s="1" t="s">
        <v>45</v>
      </c>
      <c r="E255" s="1" t="s">
        <v>35</v>
      </c>
      <c r="F255" s="1" t="s">
        <v>16</v>
      </c>
      <c r="G255" s="2">
        <v>45077</v>
      </c>
      <c r="H255">
        <v>10</v>
      </c>
      <c r="I255">
        <v>27174</v>
      </c>
      <c r="J255" s="1" t="s">
        <v>24</v>
      </c>
      <c r="K255">
        <v>2023</v>
      </c>
      <c r="L255" t="s">
        <v>42</v>
      </c>
      <c r="M255" t="s">
        <v>38</v>
      </c>
      <c r="N255">
        <v>5</v>
      </c>
    </row>
    <row r="256" spans="1:14" x14ac:dyDescent="0.25">
      <c r="A256">
        <v>255</v>
      </c>
      <c r="B256" s="1" t="s">
        <v>13</v>
      </c>
      <c r="C256">
        <v>45</v>
      </c>
      <c r="D256" s="1" t="s">
        <v>21</v>
      </c>
      <c r="E256" s="1" t="s">
        <v>15</v>
      </c>
      <c r="F256" s="1" t="s">
        <v>23</v>
      </c>
      <c r="G256" s="2">
        <v>45150</v>
      </c>
      <c r="H256">
        <v>11</v>
      </c>
      <c r="I256">
        <v>46301</v>
      </c>
      <c r="J256" s="1" t="s">
        <v>24</v>
      </c>
      <c r="K256">
        <v>2023</v>
      </c>
      <c r="L256" t="s">
        <v>47</v>
      </c>
      <c r="M256" t="s">
        <v>38</v>
      </c>
      <c r="N256">
        <v>8</v>
      </c>
    </row>
    <row r="257" spans="1:14" x14ac:dyDescent="0.25">
      <c r="A257">
        <v>256</v>
      </c>
      <c r="B257" s="1" t="s">
        <v>13</v>
      </c>
      <c r="C257">
        <v>44</v>
      </c>
      <c r="D257" s="1" t="s">
        <v>37</v>
      </c>
      <c r="E257" s="1" t="s">
        <v>22</v>
      </c>
      <c r="F257" s="1" t="s">
        <v>28</v>
      </c>
      <c r="G257" s="2">
        <v>45121</v>
      </c>
      <c r="H257">
        <v>11</v>
      </c>
      <c r="I257">
        <v>49216</v>
      </c>
      <c r="J257" s="1" t="s">
        <v>39</v>
      </c>
      <c r="K257">
        <v>2023</v>
      </c>
      <c r="L257" t="s">
        <v>36</v>
      </c>
      <c r="M257" t="s">
        <v>38</v>
      </c>
      <c r="N257">
        <v>7</v>
      </c>
    </row>
    <row r="258" spans="1:14" x14ac:dyDescent="0.25">
      <c r="A258">
        <v>257</v>
      </c>
      <c r="B258" s="1" t="s">
        <v>13</v>
      </c>
      <c r="C258">
        <v>5</v>
      </c>
      <c r="D258" s="1" t="s">
        <v>37</v>
      </c>
      <c r="E258" s="1" t="s">
        <v>31</v>
      </c>
      <c r="F258" s="1" t="s">
        <v>16</v>
      </c>
      <c r="G258" s="2">
        <v>45135</v>
      </c>
      <c r="H258">
        <v>14</v>
      </c>
      <c r="I258">
        <v>16586</v>
      </c>
      <c r="J258" s="1" t="s">
        <v>24</v>
      </c>
      <c r="K258">
        <v>2023</v>
      </c>
      <c r="L258" t="s">
        <v>36</v>
      </c>
      <c r="M258" t="s">
        <v>25</v>
      </c>
      <c r="N258">
        <v>7</v>
      </c>
    </row>
    <row r="259" spans="1:14" x14ac:dyDescent="0.25">
      <c r="A259">
        <v>258</v>
      </c>
      <c r="B259" s="1" t="s">
        <v>20</v>
      </c>
      <c r="C259">
        <v>70</v>
      </c>
      <c r="D259" s="1" t="s">
        <v>30</v>
      </c>
      <c r="E259" s="1" t="s">
        <v>15</v>
      </c>
      <c r="F259" s="1" t="s">
        <v>16</v>
      </c>
      <c r="G259" s="2">
        <v>45065</v>
      </c>
      <c r="H259">
        <v>11</v>
      </c>
      <c r="I259">
        <v>33976</v>
      </c>
      <c r="J259" s="1" t="s">
        <v>24</v>
      </c>
      <c r="K259">
        <v>2023</v>
      </c>
      <c r="L259" t="s">
        <v>42</v>
      </c>
      <c r="M259" t="s">
        <v>19</v>
      </c>
      <c r="N259">
        <v>5</v>
      </c>
    </row>
    <row r="260" spans="1:14" x14ac:dyDescent="0.25">
      <c r="A260">
        <v>259</v>
      </c>
      <c r="B260" s="1" t="s">
        <v>20</v>
      </c>
      <c r="C260">
        <v>26</v>
      </c>
      <c r="D260" s="1" t="s">
        <v>34</v>
      </c>
      <c r="E260" s="1" t="s">
        <v>35</v>
      </c>
      <c r="F260" s="1" t="s">
        <v>32</v>
      </c>
      <c r="G260" s="2">
        <v>45132</v>
      </c>
      <c r="H260">
        <v>2</v>
      </c>
      <c r="I260">
        <v>27416</v>
      </c>
      <c r="J260" s="1" t="s">
        <v>24</v>
      </c>
      <c r="K260">
        <v>2023</v>
      </c>
      <c r="L260" t="s">
        <v>36</v>
      </c>
      <c r="M260" t="s">
        <v>29</v>
      </c>
      <c r="N260">
        <v>7</v>
      </c>
    </row>
    <row r="261" spans="1:14" x14ac:dyDescent="0.25">
      <c r="A261">
        <v>260</v>
      </c>
      <c r="B261" s="1" t="s">
        <v>13</v>
      </c>
      <c r="C261">
        <v>68</v>
      </c>
      <c r="D261" s="1" t="s">
        <v>34</v>
      </c>
      <c r="E261" s="1" t="s">
        <v>31</v>
      </c>
      <c r="F261" s="1" t="s">
        <v>28</v>
      </c>
      <c r="G261" s="2">
        <v>45019</v>
      </c>
      <c r="H261">
        <v>14</v>
      </c>
      <c r="I261">
        <v>3814</v>
      </c>
      <c r="J261" s="1" t="s">
        <v>39</v>
      </c>
      <c r="K261">
        <v>2023</v>
      </c>
      <c r="L261" t="s">
        <v>33</v>
      </c>
      <c r="M261" t="s">
        <v>19</v>
      </c>
      <c r="N261">
        <v>4</v>
      </c>
    </row>
    <row r="262" spans="1:14" x14ac:dyDescent="0.25">
      <c r="A262">
        <v>261</v>
      </c>
      <c r="B262" s="1" t="s">
        <v>13</v>
      </c>
      <c r="C262">
        <v>19</v>
      </c>
      <c r="D262" s="1" t="s">
        <v>37</v>
      </c>
      <c r="E262" s="1" t="s">
        <v>22</v>
      </c>
      <c r="F262" s="1" t="s">
        <v>28</v>
      </c>
      <c r="G262" s="2">
        <v>44974</v>
      </c>
      <c r="H262">
        <v>1</v>
      </c>
      <c r="I262">
        <v>15001</v>
      </c>
      <c r="J262" s="1" t="s">
        <v>24</v>
      </c>
      <c r="K262">
        <v>2023</v>
      </c>
      <c r="L262" t="s">
        <v>46</v>
      </c>
      <c r="M262" t="s">
        <v>29</v>
      </c>
      <c r="N262">
        <v>2</v>
      </c>
    </row>
    <row r="263" spans="1:14" x14ac:dyDescent="0.25">
      <c r="A263">
        <v>262</v>
      </c>
      <c r="B263" s="1" t="s">
        <v>20</v>
      </c>
      <c r="C263">
        <v>84</v>
      </c>
      <c r="D263" s="1" t="s">
        <v>21</v>
      </c>
      <c r="E263" s="1" t="s">
        <v>31</v>
      </c>
      <c r="F263" s="1" t="s">
        <v>28</v>
      </c>
      <c r="G263" s="2">
        <v>45188</v>
      </c>
      <c r="H263">
        <v>9</v>
      </c>
      <c r="I263">
        <v>18508</v>
      </c>
      <c r="J263" s="1" t="s">
        <v>17</v>
      </c>
      <c r="K263">
        <v>2023</v>
      </c>
      <c r="L263" t="s">
        <v>44</v>
      </c>
      <c r="M263" t="s">
        <v>19</v>
      </c>
      <c r="N263">
        <v>9</v>
      </c>
    </row>
    <row r="264" spans="1:14" x14ac:dyDescent="0.25">
      <c r="A264">
        <v>263</v>
      </c>
      <c r="B264" s="1" t="s">
        <v>13</v>
      </c>
      <c r="C264">
        <v>20</v>
      </c>
      <c r="D264" s="1" t="s">
        <v>45</v>
      </c>
      <c r="E264" s="1" t="s">
        <v>15</v>
      </c>
      <c r="F264" s="1" t="s">
        <v>32</v>
      </c>
      <c r="G264" s="2">
        <v>45049</v>
      </c>
      <c r="H264">
        <v>12</v>
      </c>
      <c r="I264">
        <v>21630</v>
      </c>
      <c r="J264" s="1" t="s">
        <v>24</v>
      </c>
      <c r="K264">
        <v>2023</v>
      </c>
      <c r="L264" t="s">
        <v>42</v>
      </c>
      <c r="M264" t="s">
        <v>29</v>
      </c>
      <c r="N264">
        <v>5</v>
      </c>
    </row>
    <row r="265" spans="1:14" x14ac:dyDescent="0.25">
      <c r="A265">
        <v>264</v>
      </c>
      <c r="B265" s="1" t="s">
        <v>13</v>
      </c>
      <c r="C265">
        <v>12</v>
      </c>
      <c r="D265" s="1" t="s">
        <v>21</v>
      </c>
      <c r="E265" s="1" t="s">
        <v>22</v>
      </c>
      <c r="F265" s="1" t="s">
        <v>32</v>
      </c>
      <c r="G265" s="2">
        <v>45137</v>
      </c>
      <c r="H265">
        <v>12</v>
      </c>
      <c r="I265">
        <v>15380</v>
      </c>
      <c r="J265" s="1" t="s">
        <v>17</v>
      </c>
      <c r="K265">
        <v>2023</v>
      </c>
      <c r="L265" t="s">
        <v>36</v>
      </c>
      <c r="M265" t="s">
        <v>25</v>
      </c>
      <c r="N265">
        <v>7</v>
      </c>
    </row>
    <row r="266" spans="1:14" x14ac:dyDescent="0.25">
      <c r="A266">
        <v>265</v>
      </c>
      <c r="B266" s="1" t="s">
        <v>13</v>
      </c>
      <c r="C266">
        <v>47</v>
      </c>
      <c r="D266" s="1" t="s">
        <v>14</v>
      </c>
      <c r="E266" s="1" t="s">
        <v>35</v>
      </c>
      <c r="F266" s="1" t="s">
        <v>32</v>
      </c>
      <c r="G266" s="2">
        <v>45130</v>
      </c>
      <c r="H266">
        <v>2</v>
      </c>
      <c r="I266">
        <v>37699</v>
      </c>
      <c r="J266" s="1" t="s">
        <v>17</v>
      </c>
      <c r="K266">
        <v>2023</v>
      </c>
      <c r="L266" t="s">
        <v>36</v>
      </c>
      <c r="M266" t="s">
        <v>38</v>
      </c>
      <c r="N266">
        <v>7</v>
      </c>
    </row>
    <row r="267" spans="1:14" x14ac:dyDescent="0.25">
      <c r="A267">
        <v>266</v>
      </c>
      <c r="B267" s="1" t="s">
        <v>20</v>
      </c>
      <c r="C267">
        <v>1</v>
      </c>
      <c r="D267" s="1" t="s">
        <v>14</v>
      </c>
      <c r="E267" s="1" t="s">
        <v>22</v>
      </c>
      <c r="F267" s="1" t="s">
        <v>32</v>
      </c>
      <c r="G267" s="2">
        <v>45123</v>
      </c>
      <c r="H267">
        <v>13</v>
      </c>
      <c r="I267">
        <v>48335</v>
      </c>
      <c r="J267" s="1" t="s">
        <v>24</v>
      </c>
      <c r="K267">
        <v>2023</v>
      </c>
      <c r="L267" t="s">
        <v>36</v>
      </c>
      <c r="M267" t="s">
        <v>25</v>
      </c>
      <c r="N267">
        <v>7</v>
      </c>
    </row>
    <row r="268" spans="1:14" x14ac:dyDescent="0.25">
      <c r="A268">
        <v>267</v>
      </c>
      <c r="B268" s="1" t="s">
        <v>20</v>
      </c>
      <c r="C268">
        <v>14</v>
      </c>
      <c r="D268" s="1" t="s">
        <v>45</v>
      </c>
      <c r="E268" s="1" t="s">
        <v>22</v>
      </c>
      <c r="F268" s="1" t="s">
        <v>32</v>
      </c>
      <c r="G268" s="2">
        <v>45097</v>
      </c>
      <c r="H268">
        <v>8</v>
      </c>
      <c r="I268">
        <v>48806</v>
      </c>
      <c r="J268" s="1" t="s">
        <v>24</v>
      </c>
      <c r="K268">
        <v>2023</v>
      </c>
      <c r="L268" t="s">
        <v>40</v>
      </c>
      <c r="M268" t="s">
        <v>25</v>
      </c>
      <c r="N268">
        <v>6</v>
      </c>
    </row>
    <row r="269" spans="1:14" x14ac:dyDescent="0.25">
      <c r="A269">
        <v>268</v>
      </c>
      <c r="B269" s="1" t="s">
        <v>20</v>
      </c>
      <c r="C269">
        <v>64</v>
      </c>
      <c r="D269" s="1" t="s">
        <v>37</v>
      </c>
      <c r="E269" s="1" t="s">
        <v>27</v>
      </c>
      <c r="F269" s="1" t="s">
        <v>23</v>
      </c>
      <c r="G269" s="2">
        <v>45127</v>
      </c>
      <c r="H269">
        <v>9</v>
      </c>
      <c r="I269">
        <v>14317</v>
      </c>
      <c r="J269" s="1" t="s">
        <v>24</v>
      </c>
      <c r="K269">
        <v>2023</v>
      </c>
      <c r="L269" t="s">
        <v>36</v>
      </c>
      <c r="M269" t="s">
        <v>19</v>
      </c>
      <c r="N269">
        <v>7</v>
      </c>
    </row>
    <row r="270" spans="1:14" x14ac:dyDescent="0.25">
      <c r="A270">
        <v>269</v>
      </c>
      <c r="B270" s="1" t="s">
        <v>13</v>
      </c>
      <c r="C270">
        <v>38</v>
      </c>
      <c r="D270" s="1" t="s">
        <v>45</v>
      </c>
      <c r="E270" s="1" t="s">
        <v>22</v>
      </c>
      <c r="F270" s="1" t="s">
        <v>23</v>
      </c>
      <c r="G270" s="2">
        <v>45200</v>
      </c>
      <c r="H270">
        <v>4</v>
      </c>
      <c r="I270">
        <v>37739</v>
      </c>
      <c r="J270" s="1" t="s">
        <v>24</v>
      </c>
      <c r="K270">
        <v>2023</v>
      </c>
      <c r="L270" t="s">
        <v>41</v>
      </c>
      <c r="M270" t="s">
        <v>29</v>
      </c>
      <c r="N270">
        <v>10</v>
      </c>
    </row>
    <row r="271" spans="1:14" x14ac:dyDescent="0.25">
      <c r="A271">
        <v>270</v>
      </c>
      <c r="B271" s="1" t="s">
        <v>13</v>
      </c>
      <c r="C271">
        <v>37</v>
      </c>
      <c r="D271" s="1" t="s">
        <v>34</v>
      </c>
      <c r="E271" s="1" t="s">
        <v>22</v>
      </c>
      <c r="F271" s="1" t="s">
        <v>28</v>
      </c>
      <c r="G271" s="2">
        <v>45014</v>
      </c>
      <c r="H271">
        <v>8</v>
      </c>
      <c r="I271">
        <v>36785</v>
      </c>
      <c r="J271" s="1" t="s">
        <v>24</v>
      </c>
      <c r="K271">
        <v>2023</v>
      </c>
      <c r="L271" t="s">
        <v>43</v>
      </c>
      <c r="M271" t="s">
        <v>29</v>
      </c>
      <c r="N271">
        <v>3</v>
      </c>
    </row>
    <row r="272" spans="1:14" x14ac:dyDescent="0.25">
      <c r="A272">
        <v>271</v>
      </c>
      <c r="B272" s="1" t="s">
        <v>20</v>
      </c>
      <c r="C272">
        <v>11</v>
      </c>
      <c r="D272" s="1" t="s">
        <v>14</v>
      </c>
      <c r="E272" s="1" t="s">
        <v>31</v>
      </c>
      <c r="F272" s="1" t="s">
        <v>16</v>
      </c>
      <c r="G272" s="2">
        <v>44959</v>
      </c>
      <c r="H272">
        <v>9</v>
      </c>
      <c r="I272">
        <v>33980</v>
      </c>
      <c r="J272" s="1" t="s">
        <v>24</v>
      </c>
      <c r="K272">
        <v>2023</v>
      </c>
      <c r="L272" t="s">
        <v>46</v>
      </c>
      <c r="M272" t="s">
        <v>25</v>
      </c>
      <c r="N272">
        <v>2</v>
      </c>
    </row>
    <row r="273" spans="1:14" x14ac:dyDescent="0.25">
      <c r="A273">
        <v>272</v>
      </c>
      <c r="B273" s="1" t="s">
        <v>20</v>
      </c>
      <c r="C273">
        <v>77</v>
      </c>
      <c r="D273" s="1" t="s">
        <v>30</v>
      </c>
      <c r="E273" s="1" t="s">
        <v>35</v>
      </c>
      <c r="F273" s="1" t="s">
        <v>28</v>
      </c>
      <c r="G273" s="2">
        <v>45225</v>
      </c>
      <c r="H273">
        <v>10</v>
      </c>
      <c r="I273">
        <v>25799</v>
      </c>
      <c r="J273" s="1" t="s">
        <v>24</v>
      </c>
      <c r="K273">
        <v>2023</v>
      </c>
      <c r="L273" t="s">
        <v>41</v>
      </c>
      <c r="M273" t="s">
        <v>19</v>
      </c>
      <c r="N273">
        <v>10</v>
      </c>
    </row>
    <row r="274" spans="1:14" x14ac:dyDescent="0.25">
      <c r="A274">
        <v>273</v>
      </c>
      <c r="B274" s="1" t="s">
        <v>20</v>
      </c>
      <c r="C274">
        <v>3</v>
      </c>
      <c r="D274" s="1" t="s">
        <v>30</v>
      </c>
      <c r="E274" s="1" t="s">
        <v>31</v>
      </c>
      <c r="F274" s="1" t="s">
        <v>16</v>
      </c>
      <c r="G274" s="2">
        <v>45277</v>
      </c>
      <c r="H274">
        <v>10</v>
      </c>
      <c r="I274">
        <v>37183</v>
      </c>
      <c r="J274" s="1" t="s">
        <v>24</v>
      </c>
      <c r="K274">
        <v>2023</v>
      </c>
      <c r="L274" t="s">
        <v>26</v>
      </c>
      <c r="M274" t="s">
        <v>25</v>
      </c>
      <c r="N274">
        <v>12</v>
      </c>
    </row>
    <row r="275" spans="1:14" x14ac:dyDescent="0.25">
      <c r="A275">
        <v>274</v>
      </c>
      <c r="B275" s="1" t="s">
        <v>20</v>
      </c>
      <c r="C275">
        <v>33</v>
      </c>
      <c r="D275" s="1" t="s">
        <v>37</v>
      </c>
      <c r="E275" s="1" t="s">
        <v>31</v>
      </c>
      <c r="F275" s="1" t="s">
        <v>32</v>
      </c>
      <c r="G275" s="2">
        <v>45047</v>
      </c>
      <c r="H275">
        <v>5</v>
      </c>
      <c r="I275">
        <v>31166</v>
      </c>
      <c r="J275" s="1" t="s">
        <v>24</v>
      </c>
      <c r="K275">
        <v>2023</v>
      </c>
      <c r="L275" t="s">
        <v>42</v>
      </c>
      <c r="M275" t="s">
        <v>29</v>
      </c>
      <c r="N275">
        <v>5</v>
      </c>
    </row>
    <row r="276" spans="1:14" x14ac:dyDescent="0.25">
      <c r="A276">
        <v>275</v>
      </c>
      <c r="B276" s="1" t="s">
        <v>13</v>
      </c>
      <c r="C276">
        <v>6</v>
      </c>
      <c r="D276" s="1" t="s">
        <v>34</v>
      </c>
      <c r="E276" s="1" t="s">
        <v>15</v>
      </c>
      <c r="F276" s="1" t="s">
        <v>16</v>
      </c>
      <c r="G276" s="2">
        <v>45123</v>
      </c>
      <c r="H276">
        <v>13</v>
      </c>
      <c r="I276">
        <v>21480</v>
      </c>
      <c r="J276" s="1" t="s">
        <v>24</v>
      </c>
      <c r="K276">
        <v>2023</v>
      </c>
      <c r="L276" t="s">
        <v>36</v>
      </c>
      <c r="M276" t="s">
        <v>25</v>
      </c>
      <c r="N276">
        <v>7</v>
      </c>
    </row>
    <row r="277" spans="1:14" x14ac:dyDescent="0.25">
      <c r="A277">
        <v>276</v>
      </c>
      <c r="B277" s="1" t="s">
        <v>20</v>
      </c>
      <c r="C277">
        <v>50</v>
      </c>
      <c r="D277" s="1" t="s">
        <v>21</v>
      </c>
      <c r="E277" s="1" t="s">
        <v>31</v>
      </c>
      <c r="F277" s="1" t="s">
        <v>28</v>
      </c>
      <c r="G277" s="2">
        <v>44946</v>
      </c>
      <c r="H277">
        <v>14</v>
      </c>
      <c r="I277">
        <v>3609</v>
      </c>
      <c r="J277" s="1" t="s">
        <v>24</v>
      </c>
      <c r="K277">
        <v>2023</v>
      </c>
      <c r="L277" t="s">
        <v>48</v>
      </c>
      <c r="M277" t="s">
        <v>38</v>
      </c>
      <c r="N277">
        <v>1</v>
      </c>
    </row>
    <row r="278" spans="1:14" x14ac:dyDescent="0.25">
      <c r="A278">
        <v>277</v>
      </c>
      <c r="B278" s="1" t="s">
        <v>13</v>
      </c>
      <c r="C278">
        <v>10</v>
      </c>
      <c r="D278" s="1" t="s">
        <v>34</v>
      </c>
      <c r="E278" s="1" t="s">
        <v>27</v>
      </c>
      <c r="F278" s="1" t="s">
        <v>28</v>
      </c>
      <c r="G278" s="2">
        <v>45244</v>
      </c>
      <c r="H278">
        <v>7</v>
      </c>
      <c r="I278">
        <v>2717</v>
      </c>
      <c r="J278" s="1" t="s">
        <v>24</v>
      </c>
      <c r="K278">
        <v>2023</v>
      </c>
      <c r="L278" t="s">
        <v>18</v>
      </c>
      <c r="M278" t="s">
        <v>25</v>
      </c>
      <c r="N278">
        <v>11</v>
      </c>
    </row>
    <row r="279" spans="1:14" x14ac:dyDescent="0.25">
      <c r="A279">
        <v>278</v>
      </c>
      <c r="B279" s="1" t="s">
        <v>20</v>
      </c>
      <c r="C279">
        <v>5</v>
      </c>
      <c r="D279" s="1" t="s">
        <v>30</v>
      </c>
      <c r="E279" s="1" t="s">
        <v>27</v>
      </c>
      <c r="F279" s="1" t="s">
        <v>16</v>
      </c>
      <c r="G279" s="2">
        <v>45043</v>
      </c>
      <c r="H279">
        <v>10</v>
      </c>
      <c r="I279">
        <v>21945</v>
      </c>
      <c r="J279" s="1" t="s">
        <v>24</v>
      </c>
      <c r="K279">
        <v>2023</v>
      </c>
      <c r="L279" t="s">
        <v>33</v>
      </c>
      <c r="M279" t="s">
        <v>25</v>
      </c>
      <c r="N279">
        <v>4</v>
      </c>
    </row>
    <row r="280" spans="1:14" x14ac:dyDescent="0.25">
      <c r="A280">
        <v>279</v>
      </c>
      <c r="B280" s="1" t="s">
        <v>13</v>
      </c>
      <c r="C280">
        <v>23</v>
      </c>
      <c r="D280" s="1" t="s">
        <v>30</v>
      </c>
      <c r="E280" s="1" t="s">
        <v>15</v>
      </c>
      <c r="F280" s="1" t="s">
        <v>23</v>
      </c>
      <c r="G280" s="2">
        <v>45089</v>
      </c>
      <c r="H280">
        <v>4</v>
      </c>
      <c r="I280">
        <v>27592</v>
      </c>
      <c r="J280" s="1" t="s">
        <v>24</v>
      </c>
      <c r="K280">
        <v>2023</v>
      </c>
      <c r="L280" t="s">
        <v>40</v>
      </c>
      <c r="M280" t="s">
        <v>29</v>
      </c>
      <c r="N280">
        <v>6</v>
      </c>
    </row>
    <row r="281" spans="1:14" x14ac:dyDescent="0.25">
      <c r="A281">
        <v>280</v>
      </c>
      <c r="B281" s="1" t="s">
        <v>20</v>
      </c>
      <c r="C281">
        <v>10</v>
      </c>
      <c r="D281" s="1" t="s">
        <v>14</v>
      </c>
      <c r="E281" s="1" t="s">
        <v>35</v>
      </c>
      <c r="F281" s="1" t="s">
        <v>32</v>
      </c>
      <c r="G281" s="2">
        <v>45097</v>
      </c>
      <c r="H281">
        <v>1</v>
      </c>
      <c r="I281">
        <v>30141</v>
      </c>
      <c r="J281" s="1" t="s">
        <v>39</v>
      </c>
      <c r="K281">
        <v>2023</v>
      </c>
      <c r="L281" t="s">
        <v>40</v>
      </c>
      <c r="M281" t="s">
        <v>25</v>
      </c>
      <c r="N281">
        <v>6</v>
      </c>
    </row>
    <row r="282" spans="1:14" x14ac:dyDescent="0.25">
      <c r="A282">
        <v>281</v>
      </c>
      <c r="B282" s="1" t="s">
        <v>20</v>
      </c>
      <c r="C282">
        <v>44</v>
      </c>
      <c r="D282" s="1" t="s">
        <v>34</v>
      </c>
      <c r="E282" s="1" t="s">
        <v>35</v>
      </c>
      <c r="F282" s="1" t="s">
        <v>32</v>
      </c>
      <c r="G282" s="2">
        <v>45059</v>
      </c>
      <c r="H282">
        <v>3</v>
      </c>
      <c r="I282">
        <v>32009</v>
      </c>
      <c r="J282" s="1" t="s">
        <v>24</v>
      </c>
      <c r="K282">
        <v>2023</v>
      </c>
      <c r="L282" t="s">
        <v>42</v>
      </c>
      <c r="M282" t="s">
        <v>38</v>
      </c>
      <c r="N282">
        <v>5</v>
      </c>
    </row>
    <row r="283" spans="1:14" x14ac:dyDescent="0.25">
      <c r="A283">
        <v>282</v>
      </c>
      <c r="B283" s="1" t="s">
        <v>20</v>
      </c>
      <c r="C283">
        <v>2</v>
      </c>
      <c r="D283" s="1" t="s">
        <v>34</v>
      </c>
      <c r="E283" s="1" t="s">
        <v>31</v>
      </c>
      <c r="F283" s="1" t="s">
        <v>28</v>
      </c>
      <c r="G283" s="2">
        <v>45053</v>
      </c>
      <c r="H283">
        <v>5</v>
      </c>
      <c r="I283">
        <v>47430</v>
      </c>
      <c r="J283" s="1" t="s">
        <v>24</v>
      </c>
      <c r="K283">
        <v>2023</v>
      </c>
      <c r="L283" t="s">
        <v>42</v>
      </c>
      <c r="M283" t="s">
        <v>25</v>
      </c>
      <c r="N283">
        <v>5</v>
      </c>
    </row>
    <row r="284" spans="1:14" x14ac:dyDescent="0.25">
      <c r="A284">
        <v>283</v>
      </c>
      <c r="B284" s="1" t="s">
        <v>20</v>
      </c>
      <c r="C284">
        <v>13</v>
      </c>
      <c r="D284" s="1" t="s">
        <v>30</v>
      </c>
      <c r="E284" s="1" t="s">
        <v>31</v>
      </c>
      <c r="F284" s="1" t="s">
        <v>23</v>
      </c>
      <c r="G284" s="2">
        <v>45238</v>
      </c>
      <c r="H284">
        <v>3</v>
      </c>
      <c r="I284">
        <v>8782</v>
      </c>
      <c r="J284" s="1" t="s">
        <v>24</v>
      </c>
      <c r="K284">
        <v>2023</v>
      </c>
      <c r="L284" t="s">
        <v>18</v>
      </c>
      <c r="M284" t="s">
        <v>25</v>
      </c>
      <c r="N284">
        <v>11</v>
      </c>
    </row>
    <row r="285" spans="1:14" x14ac:dyDescent="0.25">
      <c r="A285">
        <v>284</v>
      </c>
      <c r="B285" s="1" t="s">
        <v>13</v>
      </c>
      <c r="C285">
        <v>40</v>
      </c>
      <c r="D285" s="1" t="s">
        <v>21</v>
      </c>
      <c r="E285" s="1" t="s">
        <v>31</v>
      </c>
      <c r="F285" s="1" t="s">
        <v>16</v>
      </c>
      <c r="G285" s="2">
        <v>44968</v>
      </c>
      <c r="H285">
        <v>12</v>
      </c>
      <c r="I285">
        <v>28536</v>
      </c>
      <c r="J285" s="1" t="s">
        <v>39</v>
      </c>
      <c r="K285">
        <v>2023</v>
      </c>
      <c r="L285" t="s">
        <v>46</v>
      </c>
      <c r="M285" t="s">
        <v>38</v>
      </c>
      <c r="N285">
        <v>2</v>
      </c>
    </row>
    <row r="286" spans="1:14" x14ac:dyDescent="0.25">
      <c r="A286">
        <v>285</v>
      </c>
      <c r="B286" s="1" t="s">
        <v>20</v>
      </c>
      <c r="C286">
        <v>2</v>
      </c>
      <c r="D286" s="1" t="s">
        <v>37</v>
      </c>
      <c r="E286" s="1" t="s">
        <v>35</v>
      </c>
      <c r="F286" s="1" t="s">
        <v>32</v>
      </c>
      <c r="G286" s="2">
        <v>44937</v>
      </c>
      <c r="H286">
        <v>13</v>
      </c>
      <c r="I286">
        <v>35816</v>
      </c>
      <c r="J286" s="1" t="s">
        <v>39</v>
      </c>
      <c r="K286">
        <v>2023</v>
      </c>
      <c r="L286" t="s">
        <v>48</v>
      </c>
      <c r="M286" t="s">
        <v>25</v>
      </c>
      <c r="N286">
        <v>1</v>
      </c>
    </row>
    <row r="287" spans="1:14" x14ac:dyDescent="0.25">
      <c r="A287">
        <v>286</v>
      </c>
      <c r="B287" s="1" t="s">
        <v>13</v>
      </c>
      <c r="C287">
        <v>84</v>
      </c>
      <c r="D287" s="1" t="s">
        <v>37</v>
      </c>
      <c r="E287" s="1" t="s">
        <v>22</v>
      </c>
      <c r="F287" s="1" t="s">
        <v>23</v>
      </c>
      <c r="G287" s="2">
        <v>45281</v>
      </c>
      <c r="H287">
        <v>11</v>
      </c>
      <c r="I287">
        <v>27933</v>
      </c>
      <c r="J287" s="1" t="s">
        <v>39</v>
      </c>
      <c r="K287">
        <v>2023</v>
      </c>
      <c r="L287" t="s">
        <v>26</v>
      </c>
      <c r="M287" t="s">
        <v>19</v>
      </c>
      <c r="N287">
        <v>12</v>
      </c>
    </row>
    <row r="288" spans="1:14" x14ac:dyDescent="0.25">
      <c r="A288">
        <v>287</v>
      </c>
      <c r="B288" s="1" t="s">
        <v>13</v>
      </c>
      <c r="C288">
        <v>65</v>
      </c>
      <c r="D288" s="1" t="s">
        <v>34</v>
      </c>
      <c r="E288" s="1" t="s">
        <v>27</v>
      </c>
      <c r="F288" s="1" t="s">
        <v>32</v>
      </c>
      <c r="G288" s="2">
        <v>45108</v>
      </c>
      <c r="H288">
        <v>7</v>
      </c>
      <c r="I288">
        <v>13618</v>
      </c>
      <c r="J288" s="1" t="s">
        <v>24</v>
      </c>
      <c r="K288">
        <v>2023</v>
      </c>
      <c r="L288" t="s">
        <v>36</v>
      </c>
      <c r="M288" t="s">
        <v>19</v>
      </c>
      <c r="N288">
        <v>7</v>
      </c>
    </row>
    <row r="289" spans="1:14" x14ac:dyDescent="0.25">
      <c r="A289">
        <v>288</v>
      </c>
      <c r="B289" s="1" t="s">
        <v>13</v>
      </c>
      <c r="C289">
        <v>63</v>
      </c>
      <c r="D289" s="1" t="s">
        <v>37</v>
      </c>
      <c r="E289" s="1" t="s">
        <v>22</v>
      </c>
      <c r="F289" s="1" t="s">
        <v>23</v>
      </c>
      <c r="G289" s="2">
        <v>45101</v>
      </c>
      <c r="H289">
        <v>12</v>
      </c>
      <c r="I289">
        <v>10307</v>
      </c>
      <c r="J289" s="1" t="s">
        <v>24</v>
      </c>
      <c r="K289">
        <v>2023</v>
      </c>
      <c r="L289" t="s">
        <v>40</v>
      </c>
      <c r="M289" t="s">
        <v>19</v>
      </c>
      <c r="N289">
        <v>6</v>
      </c>
    </row>
    <row r="290" spans="1:14" x14ac:dyDescent="0.25">
      <c r="A290">
        <v>289</v>
      </c>
      <c r="B290" s="1" t="s">
        <v>13</v>
      </c>
      <c r="C290">
        <v>73</v>
      </c>
      <c r="D290" s="1" t="s">
        <v>30</v>
      </c>
      <c r="E290" s="1" t="s">
        <v>22</v>
      </c>
      <c r="F290" s="1" t="s">
        <v>23</v>
      </c>
      <c r="G290" s="2">
        <v>45144</v>
      </c>
      <c r="H290">
        <v>9</v>
      </c>
      <c r="I290">
        <v>28671</v>
      </c>
      <c r="J290" s="1" t="s">
        <v>24</v>
      </c>
      <c r="K290">
        <v>2023</v>
      </c>
      <c r="L290" t="s">
        <v>47</v>
      </c>
      <c r="M290" t="s">
        <v>19</v>
      </c>
      <c r="N290">
        <v>8</v>
      </c>
    </row>
    <row r="291" spans="1:14" x14ac:dyDescent="0.25">
      <c r="A291">
        <v>290</v>
      </c>
      <c r="B291" s="1" t="s">
        <v>20</v>
      </c>
      <c r="C291">
        <v>17</v>
      </c>
      <c r="D291" s="1" t="s">
        <v>30</v>
      </c>
      <c r="E291" s="1" t="s">
        <v>35</v>
      </c>
      <c r="F291" s="1" t="s">
        <v>28</v>
      </c>
      <c r="G291" s="2">
        <v>45009</v>
      </c>
      <c r="H291">
        <v>12</v>
      </c>
      <c r="I291">
        <v>42673</v>
      </c>
      <c r="J291" s="1" t="s">
        <v>24</v>
      </c>
      <c r="K291">
        <v>2023</v>
      </c>
      <c r="L291" t="s">
        <v>43</v>
      </c>
      <c r="M291" t="s">
        <v>25</v>
      </c>
      <c r="N291">
        <v>3</v>
      </c>
    </row>
    <row r="292" spans="1:14" x14ac:dyDescent="0.25">
      <c r="A292">
        <v>291</v>
      </c>
      <c r="B292" s="1" t="s">
        <v>13</v>
      </c>
      <c r="C292">
        <v>9</v>
      </c>
      <c r="D292" s="1" t="s">
        <v>34</v>
      </c>
      <c r="E292" s="1" t="s">
        <v>22</v>
      </c>
      <c r="F292" s="1" t="s">
        <v>32</v>
      </c>
      <c r="G292" s="2">
        <v>44940</v>
      </c>
      <c r="H292">
        <v>6</v>
      </c>
      <c r="I292">
        <v>44761</v>
      </c>
      <c r="J292" s="1" t="s">
        <v>17</v>
      </c>
      <c r="K292">
        <v>2023</v>
      </c>
      <c r="L292" t="s">
        <v>48</v>
      </c>
      <c r="M292" t="s">
        <v>25</v>
      </c>
      <c r="N292">
        <v>1</v>
      </c>
    </row>
    <row r="293" spans="1:14" x14ac:dyDescent="0.25">
      <c r="A293">
        <v>292</v>
      </c>
      <c r="B293" s="1" t="s">
        <v>13</v>
      </c>
      <c r="C293">
        <v>75</v>
      </c>
      <c r="D293" s="1" t="s">
        <v>34</v>
      </c>
      <c r="E293" s="1" t="s">
        <v>15</v>
      </c>
      <c r="F293" s="1" t="s">
        <v>16</v>
      </c>
      <c r="G293" s="2">
        <v>45089</v>
      </c>
      <c r="H293">
        <v>13</v>
      </c>
      <c r="I293">
        <v>12338</v>
      </c>
      <c r="J293" s="1" t="s">
        <v>24</v>
      </c>
      <c r="K293">
        <v>2023</v>
      </c>
      <c r="L293" t="s">
        <v>40</v>
      </c>
      <c r="M293" t="s">
        <v>19</v>
      </c>
      <c r="N293">
        <v>6</v>
      </c>
    </row>
    <row r="294" spans="1:14" x14ac:dyDescent="0.25">
      <c r="A294">
        <v>293</v>
      </c>
      <c r="B294" s="1" t="s">
        <v>13</v>
      </c>
      <c r="C294">
        <v>15</v>
      </c>
      <c r="D294" s="1" t="s">
        <v>14</v>
      </c>
      <c r="E294" s="1" t="s">
        <v>31</v>
      </c>
      <c r="F294" s="1" t="s">
        <v>28</v>
      </c>
      <c r="G294" s="2">
        <v>45071</v>
      </c>
      <c r="H294">
        <v>10</v>
      </c>
      <c r="I294">
        <v>40346</v>
      </c>
      <c r="J294" s="1" t="s">
        <v>39</v>
      </c>
      <c r="K294">
        <v>2023</v>
      </c>
      <c r="L294" t="s">
        <v>42</v>
      </c>
      <c r="M294" t="s">
        <v>25</v>
      </c>
      <c r="N294">
        <v>5</v>
      </c>
    </row>
    <row r="295" spans="1:14" x14ac:dyDescent="0.25">
      <c r="A295">
        <v>294</v>
      </c>
      <c r="B295" s="1" t="s">
        <v>20</v>
      </c>
      <c r="C295">
        <v>24</v>
      </c>
      <c r="D295" s="1" t="s">
        <v>34</v>
      </c>
      <c r="E295" s="1" t="s">
        <v>15</v>
      </c>
      <c r="F295" s="1" t="s">
        <v>28</v>
      </c>
      <c r="G295" s="2">
        <v>45080</v>
      </c>
      <c r="H295">
        <v>1</v>
      </c>
      <c r="I295">
        <v>48602</v>
      </c>
      <c r="J295" s="1" t="s">
        <v>24</v>
      </c>
      <c r="K295">
        <v>2023</v>
      </c>
      <c r="L295" t="s">
        <v>40</v>
      </c>
      <c r="M295" t="s">
        <v>29</v>
      </c>
      <c r="N295">
        <v>6</v>
      </c>
    </row>
    <row r="296" spans="1:14" x14ac:dyDescent="0.25">
      <c r="A296">
        <v>295</v>
      </c>
      <c r="B296" s="1" t="s">
        <v>20</v>
      </c>
      <c r="C296">
        <v>38</v>
      </c>
      <c r="D296" s="1" t="s">
        <v>21</v>
      </c>
      <c r="E296" s="1" t="s">
        <v>27</v>
      </c>
      <c r="F296" s="1" t="s">
        <v>16</v>
      </c>
      <c r="G296" s="2">
        <v>45182</v>
      </c>
      <c r="H296">
        <v>7</v>
      </c>
      <c r="I296">
        <v>8548</v>
      </c>
      <c r="J296" s="1" t="s">
        <v>39</v>
      </c>
      <c r="K296">
        <v>2023</v>
      </c>
      <c r="L296" t="s">
        <v>44</v>
      </c>
      <c r="M296" t="s">
        <v>29</v>
      </c>
      <c r="N296">
        <v>9</v>
      </c>
    </row>
    <row r="297" spans="1:14" x14ac:dyDescent="0.25">
      <c r="A297">
        <v>296</v>
      </c>
      <c r="B297" s="1" t="s">
        <v>20</v>
      </c>
      <c r="C297">
        <v>35</v>
      </c>
      <c r="D297" s="1" t="s">
        <v>37</v>
      </c>
      <c r="E297" s="1" t="s">
        <v>31</v>
      </c>
      <c r="F297" s="1" t="s">
        <v>28</v>
      </c>
      <c r="G297" s="2">
        <v>45038</v>
      </c>
      <c r="H297">
        <v>3</v>
      </c>
      <c r="I297">
        <v>42149</v>
      </c>
      <c r="J297" s="1" t="s">
        <v>24</v>
      </c>
      <c r="K297">
        <v>2023</v>
      </c>
      <c r="L297" t="s">
        <v>33</v>
      </c>
      <c r="M297" t="s">
        <v>29</v>
      </c>
      <c r="N297">
        <v>4</v>
      </c>
    </row>
    <row r="298" spans="1:14" x14ac:dyDescent="0.25">
      <c r="A298">
        <v>297</v>
      </c>
      <c r="B298" s="1" t="s">
        <v>20</v>
      </c>
      <c r="C298">
        <v>49</v>
      </c>
      <c r="D298" s="1" t="s">
        <v>34</v>
      </c>
      <c r="E298" s="1" t="s">
        <v>22</v>
      </c>
      <c r="F298" s="1" t="s">
        <v>23</v>
      </c>
      <c r="G298" s="2">
        <v>44948</v>
      </c>
      <c r="H298">
        <v>5</v>
      </c>
      <c r="I298">
        <v>23164</v>
      </c>
      <c r="J298" s="1" t="s">
        <v>24</v>
      </c>
      <c r="K298">
        <v>2023</v>
      </c>
      <c r="L298" t="s">
        <v>48</v>
      </c>
      <c r="M298" t="s">
        <v>38</v>
      </c>
      <c r="N298">
        <v>1</v>
      </c>
    </row>
    <row r="299" spans="1:14" x14ac:dyDescent="0.25">
      <c r="A299">
        <v>298</v>
      </c>
      <c r="B299" s="1" t="s">
        <v>13</v>
      </c>
      <c r="C299">
        <v>69</v>
      </c>
      <c r="D299" s="1" t="s">
        <v>45</v>
      </c>
      <c r="E299" s="1" t="s">
        <v>27</v>
      </c>
      <c r="F299" s="1" t="s">
        <v>23</v>
      </c>
      <c r="G299" s="2">
        <v>44970</v>
      </c>
      <c r="H299">
        <v>10</v>
      </c>
      <c r="I299">
        <v>29526</v>
      </c>
      <c r="J299" s="1" t="s">
        <v>24</v>
      </c>
      <c r="K299">
        <v>2023</v>
      </c>
      <c r="L299" t="s">
        <v>46</v>
      </c>
      <c r="M299" t="s">
        <v>19</v>
      </c>
      <c r="N299">
        <v>2</v>
      </c>
    </row>
    <row r="300" spans="1:14" x14ac:dyDescent="0.25">
      <c r="A300">
        <v>299</v>
      </c>
      <c r="B300" s="1" t="s">
        <v>13</v>
      </c>
      <c r="C300">
        <v>62</v>
      </c>
      <c r="D300" s="1" t="s">
        <v>14</v>
      </c>
      <c r="E300" s="1" t="s">
        <v>31</v>
      </c>
      <c r="F300" s="1" t="s">
        <v>32</v>
      </c>
      <c r="G300" s="2">
        <v>45035</v>
      </c>
      <c r="H300">
        <v>4</v>
      </c>
      <c r="I300">
        <v>33222</v>
      </c>
      <c r="J300" s="1" t="s">
        <v>24</v>
      </c>
      <c r="K300">
        <v>2023</v>
      </c>
      <c r="L300" t="s">
        <v>33</v>
      </c>
      <c r="M300" t="s">
        <v>19</v>
      </c>
      <c r="N300">
        <v>4</v>
      </c>
    </row>
    <row r="301" spans="1:14" x14ac:dyDescent="0.25">
      <c r="A301">
        <v>300</v>
      </c>
      <c r="B301" s="1" t="s">
        <v>20</v>
      </c>
      <c r="C301">
        <v>60</v>
      </c>
      <c r="D301" s="1" t="s">
        <v>45</v>
      </c>
      <c r="E301" s="1" t="s">
        <v>22</v>
      </c>
      <c r="F301" s="1" t="s">
        <v>32</v>
      </c>
      <c r="G301" s="2">
        <v>45252</v>
      </c>
      <c r="H301">
        <v>10</v>
      </c>
      <c r="I301">
        <v>22176</v>
      </c>
      <c r="J301" s="1" t="s">
        <v>24</v>
      </c>
      <c r="K301">
        <v>2023</v>
      </c>
      <c r="L301" t="s">
        <v>18</v>
      </c>
      <c r="M301" t="s">
        <v>19</v>
      </c>
      <c r="N301">
        <v>11</v>
      </c>
    </row>
    <row r="302" spans="1:14" x14ac:dyDescent="0.25">
      <c r="A302">
        <v>301</v>
      </c>
      <c r="B302" s="1" t="s">
        <v>13</v>
      </c>
      <c r="C302">
        <v>50</v>
      </c>
      <c r="D302" s="1" t="s">
        <v>30</v>
      </c>
      <c r="E302" s="1" t="s">
        <v>15</v>
      </c>
      <c r="F302" s="1" t="s">
        <v>16</v>
      </c>
      <c r="G302" s="2">
        <v>45035</v>
      </c>
      <c r="H302">
        <v>5</v>
      </c>
      <c r="I302">
        <v>4941</v>
      </c>
      <c r="J302" s="1" t="s">
        <v>39</v>
      </c>
      <c r="K302">
        <v>2023</v>
      </c>
      <c r="L302" t="s">
        <v>33</v>
      </c>
      <c r="M302" t="s">
        <v>38</v>
      </c>
      <c r="N302">
        <v>4</v>
      </c>
    </row>
    <row r="303" spans="1:14" x14ac:dyDescent="0.25">
      <c r="A303">
        <v>302</v>
      </c>
      <c r="B303" s="1" t="s">
        <v>13</v>
      </c>
      <c r="C303">
        <v>78</v>
      </c>
      <c r="D303" s="1" t="s">
        <v>37</v>
      </c>
      <c r="E303" s="1" t="s">
        <v>31</v>
      </c>
      <c r="F303" s="1" t="s">
        <v>32</v>
      </c>
      <c r="G303" s="2">
        <v>45288</v>
      </c>
      <c r="H303">
        <v>5</v>
      </c>
      <c r="I303">
        <v>7695</v>
      </c>
      <c r="J303" s="1" t="s">
        <v>24</v>
      </c>
      <c r="K303">
        <v>2023</v>
      </c>
      <c r="L303" t="s">
        <v>26</v>
      </c>
      <c r="M303" t="s">
        <v>19</v>
      </c>
      <c r="N303">
        <v>12</v>
      </c>
    </row>
    <row r="304" spans="1:14" x14ac:dyDescent="0.25">
      <c r="A304">
        <v>303</v>
      </c>
      <c r="B304" s="1" t="s">
        <v>13</v>
      </c>
      <c r="C304">
        <v>75</v>
      </c>
      <c r="D304" s="1" t="s">
        <v>34</v>
      </c>
      <c r="E304" s="1" t="s">
        <v>22</v>
      </c>
      <c r="F304" s="1" t="s">
        <v>23</v>
      </c>
      <c r="G304" s="2">
        <v>44970</v>
      </c>
      <c r="H304">
        <v>6</v>
      </c>
      <c r="I304">
        <v>41169</v>
      </c>
      <c r="J304" s="1" t="s">
        <v>24</v>
      </c>
      <c r="K304">
        <v>2023</v>
      </c>
      <c r="L304" t="s">
        <v>46</v>
      </c>
      <c r="M304" t="s">
        <v>19</v>
      </c>
      <c r="N304">
        <v>2</v>
      </c>
    </row>
    <row r="305" spans="1:14" x14ac:dyDescent="0.25">
      <c r="A305">
        <v>304</v>
      </c>
      <c r="B305" s="1" t="s">
        <v>20</v>
      </c>
      <c r="C305">
        <v>9</v>
      </c>
      <c r="D305" s="1" t="s">
        <v>45</v>
      </c>
      <c r="E305" s="1" t="s">
        <v>15</v>
      </c>
      <c r="F305" s="1" t="s">
        <v>16</v>
      </c>
      <c r="G305" s="2">
        <v>45238</v>
      </c>
      <c r="H305">
        <v>14</v>
      </c>
      <c r="I305">
        <v>49947</v>
      </c>
      <c r="J305" s="1" t="s">
        <v>24</v>
      </c>
      <c r="K305">
        <v>2023</v>
      </c>
      <c r="L305" t="s">
        <v>18</v>
      </c>
      <c r="M305" t="s">
        <v>25</v>
      </c>
      <c r="N305">
        <v>11</v>
      </c>
    </row>
    <row r="306" spans="1:14" x14ac:dyDescent="0.25">
      <c r="A306">
        <v>305</v>
      </c>
      <c r="B306" s="1" t="s">
        <v>20</v>
      </c>
      <c r="C306">
        <v>34</v>
      </c>
      <c r="D306" s="1" t="s">
        <v>37</v>
      </c>
      <c r="E306" s="1" t="s">
        <v>27</v>
      </c>
      <c r="F306" s="1" t="s">
        <v>16</v>
      </c>
      <c r="G306" s="2">
        <v>45256</v>
      </c>
      <c r="H306">
        <v>10</v>
      </c>
      <c r="I306">
        <v>49224</v>
      </c>
      <c r="J306" s="1" t="s">
        <v>24</v>
      </c>
      <c r="K306">
        <v>2023</v>
      </c>
      <c r="L306" t="s">
        <v>18</v>
      </c>
      <c r="M306" t="s">
        <v>29</v>
      </c>
      <c r="N306">
        <v>11</v>
      </c>
    </row>
    <row r="307" spans="1:14" x14ac:dyDescent="0.25">
      <c r="A307">
        <v>306</v>
      </c>
      <c r="B307" s="1" t="s">
        <v>13</v>
      </c>
      <c r="C307">
        <v>76</v>
      </c>
      <c r="D307" s="1" t="s">
        <v>30</v>
      </c>
      <c r="E307" s="1" t="s">
        <v>27</v>
      </c>
      <c r="F307" s="1" t="s">
        <v>32</v>
      </c>
      <c r="G307" s="2">
        <v>44939</v>
      </c>
      <c r="H307">
        <v>12</v>
      </c>
      <c r="I307">
        <v>47865</v>
      </c>
      <c r="J307" s="1" t="s">
        <v>39</v>
      </c>
      <c r="K307">
        <v>2023</v>
      </c>
      <c r="L307" t="s">
        <v>48</v>
      </c>
      <c r="M307" t="s">
        <v>19</v>
      </c>
      <c r="N307">
        <v>1</v>
      </c>
    </row>
    <row r="308" spans="1:14" x14ac:dyDescent="0.25">
      <c r="A308">
        <v>307</v>
      </c>
      <c r="B308" s="1" t="s">
        <v>20</v>
      </c>
      <c r="C308">
        <v>35</v>
      </c>
      <c r="D308" s="1" t="s">
        <v>21</v>
      </c>
      <c r="E308" s="1" t="s">
        <v>27</v>
      </c>
      <c r="F308" s="1" t="s">
        <v>23</v>
      </c>
      <c r="G308" s="2">
        <v>45130</v>
      </c>
      <c r="H308">
        <v>10</v>
      </c>
      <c r="I308">
        <v>27553</v>
      </c>
      <c r="J308" s="1" t="s">
        <v>39</v>
      </c>
      <c r="K308">
        <v>2023</v>
      </c>
      <c r="L308" t="s">
        <v>36</v>
      </c>
      <c r="M308" t="s">
        <v>29</v>
      </c>
      <c r="N308">
        <v>7</v>
      </c>
    </row>
    <row r="309" spans="1:14" x14ac:dyDescent="0.25">
      <c r="A309">
        <v>308</v>
      </c>
      <c r="B309" s="1" t="s">
        <v>20</v>
      </c>
      <c r="C309">
        <v>1</v>
      </c>
      <c r="D309" s="1" t="s">
        <v>14</v>
      </c>
      <c r="E309" s="1" t="s">
        <v>27</v>
      </c>
      <c r="F309" s="1" t="s">
        <v>16</v>
      </c>
      <c r="G309" s="2">
        <v>45171</v>
      </c>
      <c r="H309">
        <v>13</v>
      </c>
      <c r="I309">
        <v>40965</v>
      </c>
      <c r="J309" s="1" t="s">
        <v>39</v>
      </c>
      <c r="K309">
        <v>2023</v>
      </c>
      <c r="L309" t="s">
        <v>44</v>
      </c>
      <c r="M309" t="s">
        <v>25</v>
      </c>
      <c r="N309">
        <v>9</v>
      </c>
    </row>
    <row r="310" spans="1:14" x14ac:dyDescent="0.25">
      <c r="A310">
        <v>309</v>
      </c>
      <c r="B310" s="1" t="s">
        <v>20</v>
      </c>
      <c r="C310">
        <v>40</v>
      </c>
      <c r="D310" s="1" t="s">
        <v>37</v>
      </c>
      <c r="E310" s="1" t="s">
        <v>35</v>
      </c>
      <c r="F310" s="1" t="s">
        <v>23</v>
      </c>
      <c r="G310" s="2">
        <v>45055</v>
      </c>
      <c r="H310">
        <v>13</v>
      </c>
      <c r="I310">
        <v>40218</v>
      </c>
      <c r="J310" s="1" t="s">
        <v>39</v>
      </c>
      <c r="K310">
        <v>2023</v>
      </c>
      <c r="L310" t="s">
        <v>42</v>
      </c>
      <c r="M310" t="s">
        <v>38</v>
      </c>
      <c r="N310">
        <v>5</v>
      </c>
    </row>
    <row r="311" spans="1:14" x14ac:dyDescent="0.25">
      <c r="A311">
        <v>310</v>
      </c>
      <c r="B311" s="1" t="s">
        <v>20</v>
      </c>
      <c r="C311">
        <v>64</v>
      </c>
      <c r="D311" s="1" t="s">
        <v>37</v>
      </c>
      <c r="E311" s="1" t="s">
        <v>31</v>
      </c>
      <c r="F311" s="1" t="s">
        <v>23</v>
      </c>
      <c r="G311" s="2">
        <v>45123</v>
      </c>
      <c r="H311">
        <v>11</v>
      </c>
      <c r="I311">
        <v>27359</v>
      </c>
      <c r="J311" s="1" t="s">
        <v>39</v>
      </c>
      <c r="K311">
        <v>2023</v>
      </c>
      <c r="L311" t="s">
        <v>36</v>
      </c>
      <c r="M311" t="s">
        <v>19</v>
      </c>
      <c r="N311">
        <v>7</v>
      </c>
    </row>
    <row r="312" spans="1:14" x14ac:dyDescent="0.25">
      <c r="A312">
        <v>311</v>
      </c>
      <c r="B312" s="1" t="s">
        <v>20</v>
      </c>
      <c r="C312">
        <v>22</v>
      </c>
      <c r="D312" s="1" t="s">
        <v>21</v>
      </c>
      <c r="E312" s="1" t="s">
        <v>31</v>
      </c>
      <c r="F312" s="1" t="s">
        <v>23</v>
      </c>
      <c r="G312" s="2">
        <v>44975</v>
      </c>
      <c r="H312">
        <v>6</v>
      </c>
      <c r="I312">
        <v>26816</v>
      </c>
      <c r="J312" s="1" t="s">
        <v>24</v>
      </c>
      <c r="K312">
        <v>2023</v>
      </c>
      <c r="L312" t="s">
        <v>46</v>
      </c>
      <c r="M312" t="s">
        <v>29</v>
      </c>
      <c r="N312">
        <v>2</v>
      </c>
    </row>
    <row r="313" spans="1:14" x14ac:dyDescent="0.25">
      <c r="A313">
        <v>312</v>
      </c>
      <c r="B313" s="1" t="s">
        <v>13</v>
      </c>
      <c r="C313">
        <v>60</v>
      </c>
      <c r="D313" s="1" t="s">
        <v>37</v>
      </c>
      <c r="E313" s="1" t="s">
        <v>35</v>
      </c>
      <c r="F313" s="1" t="s">
        <v>32</v>
      </c>
      <c r="G313" s="2">
        <v>45030</v>
      </c>
      <c r="H313">
        <v>8</v>
      </c>
      <c r="I313">
        <v>10378</v>
      </c>
      <c r="J313" s="1" t="s">
        <v>39</v>
      </c>
      <c r="K313">
        <v>2023</v>
      </c>
      <c r="L313" t="s">
        <v>33</v>
      </c>
      <c r="M313" t="s">
        <v>19</v>
      </c>
      <c r="N313">
        <v>4</v>
      </c>
    </row>
    <row r="314" spans="1:14" x14ac:dyDescent="0.25">
      <c r="A314">
        <v>313</v>
      </c>
      <c r="B314" s="1" t="s">
        <v>20</v>
      </c>
      <c r="C314">
        <v>64</v>
      </c>
      <c r="D314" s="1" t="s">
        <v>30</v>
      </c>
      <c r="E314" s="1" t="s">
        <v>22</v>
      </c>
      <c r="F314" s="1" t="s">
        <v>28</v>
      </c>
      <c r="G314" s="2">
        <v>45067</v>
      </c>
      <c r="H314">
        <v>8</v>
      </c>
      <c r="I314">
        <v>3881</v>
      </c>
      <c r="J314" s="1" t="s">
        <v>24</v>
      </c>
      <c r="K314">
        <v>2023</v>
      </c>
      <c r="L314" t="s">
        <v>42</v>
      </c>
      <c r="M314" t="s">
        <v>19</v>
      </c>
      <c r="N314">
        <v>5</v>
      </c>
    </row>
    <row r="315" spans="1:14" x14ac:dyDescent="0.25">
      <c r="A315">
        <v>314</v>
      </c>
      <c r="B315" s="1" t="s">
        <v>13</v>
      </c>
      <c r="C315">
        <v>72</v>
      </c>
      <c r="D315" s="1" t="s">
        <v>30</v>
      </c>
      <c r="E315" s="1" t="s">
        <v>22</v>
      </c>
      <c r="F315" s="1" t="s">
        <v>28</v>
      </c>
      <c r="G315" s="2">
        <v>45159</v>
      </c>
      <c r="H315">
        <v>11</v>
      </c>
      <c r="I315">
        <v>41567</v>
      </c>
      <c r="J315" s="1" t="s">
        <v>24</v>
      </c>
      <c r="K315">
        <v>2023</v>
      </c>
      <c r="L315" t="s">
        <v>47</v>
      </c>
      <c r="M315" t="s">
        <v>19</v>
      </c>
      <c r="N315">
        <v>8</v>
      </c>
    </row>
    <row r="316" spans="1:14" x14ac:dyDescent="0.25">
      <c r="A316">
        <v>315</v>
      </c>
      <c r="B316" s="1" t="s">
        <v>13</v>
      </c>
      <c r="C316">
        <v>11</v>
      </c>
      <c r="D316" s="1" t="s">
        <v>21</v>
      </c>
      <c r="E316" s="1" t="s">
        <v>27</v>
      </c>
      <c r="F316" s="1" t="s">
        <v>16</v>
      </c>
      <c r="G316" s="2">
        <v>45046</v>
      </c>
      <c r="H316">
        <v>9</v>
      </c>
      <c r="I316">
        <v>49365</v>
      </c>
      <c r="J316" s="1" t="s">
        <v>24</v>
      </c>
      <c r="K316">
        <v>2023</v>
      </c>
      <c r="L316" t="s">
        <v>33</v>
      </c>
      <c r="M316" t="s">
        <v>25</v>
      </c>
      <c r="N316">
        <v>4</v>
      </c>
    </row>
    <row r="317" spans="1:14" x14ac:dyDescent="0.25">
      <c r="A317">
        <v>316</v>
      </c>
      <c r="B317" s="1" t="s">
        <v>20</v>
      </c>
      <c r="C317">
        <v>14</v>
      </c>
      <c r="D317" s="1" t="s">
        <v>14</v>
      </c>
      <c r="E317" s="1" t="s">
        <v>15</v>
      </c>
      <c r="F317" s="1" t="s">
        <v>23</v>
      </c>
      <c r="G317" s="2">
        <v>45129</v>
      </c>
      <c r="H317">
        <v>8</v>
      </c>
      <c r="I317">
        <v>15675</v>
      </c>
      <c r="J317" s="1" t="s">
        <v>39</v>
      </c>
      <c r="K317">
        <v>2023</v>
      </c>
      <c r="L317" t="s">
        <v>36</v>
      </c>
      <c r="M317" t="s">
        <v>25</v>
      </c>
      <c r="N317">
        <v>7</v>
      </c>
    </row>
    <row r="318" spans="1:14" x14ac:dyDescent="0.25">
      <c r="A318">
        <v>317</v>
      </c>
      <c r="B318" s="1" t="s">
        <v>13</v>
      </c>
      <c r="C318">
        <v>60</v>
      </c>
      <c r="D318" s="1" t="s">
        <v>34</v>
      </c>
      <c r="E318" s="1" t="s">
        <v>22</v>
      </c>
      <c r="F318" s="1" t="s">
        <v>32</v>
      </c>
      <c r="G318" s="2">
        <v>45084</v>
      </c>
      <c r="H318">
        <v>13</v>
      </c>
      <c r="I318">
        <v>6586</v>
      </c>
      <c r="J318" s="1" t="s">
        <v>39</v>
      </c>
      <c r="K318">
        <v>2023</v>
      </c>
      <c r="L318" t="s">
        <v>40</v>
      </c>
      <c r="M318" t="s">
        <v>19</v>
      </c>
      <c r="N318">
        <v>6</v>
      </c>
    </row>
    <row r="319" spans="1:14" x14ac:dyDescent="0.25">
      <c r="A319">
        <v>318</v>
      </c>
      <c r="B319" s="1" t="s">
        <v>13</v>
      </c>
      <c r="C319">
        <v>30</v>
      </c>
      <c r="D319" s="1" t="s">
        <v>45</v>
      </c>
      <c r="E319" s="1" t="s">
        <v>15</v>
      </c>
      <c r="F319" s="1" t="s">
        <v>23</v>
      </c>
      <c r="G319" s="2">
        <v>45256</v>
      </c>
      <c r="H319">
        <v>11</v>
      </c>
      <c r="I319">
        <v>27006</v>
      </c>
      <c r="J319" s="1" t="s">
        <v>24</v>
      </c>
      <c r="K319">
        <v>2023</v>
      </c>
      <c r="L319" t="s">
        <v>18</v>
      </c>
      <c r="M319" t="s">
        <v>29</v>
      </c>
      <c r="N319">
        <v>11</v>
      </c>
    </row>
    <row r="320" spans="1:14" x14ac:dyDescent="0.25">
      <c r="A320">
        <v>319</v>
      </c>
      <c r="B320" s="1" t="s">
        <v>13</v>
      </c>
      <c r="C320">
        <v>35</v>
      </c>
      <c r="D320" s="1" t="s">
        <v>34</v>
      </c>
      <c r="E320" s="1" t="s">
        <v>31</v>
      </c>
      <c r="F320" s="1" t="s">
        <v>23</v>
      </c>
      <c r="G320" s="2">
        <v>45204</v>
      </c>
      <c r="H320">
        <v>2</v>
      </c>
      <c r="I320">
        <v>43198</v>
      </c>
      <c r="J320" s="1" t="s">
        <v>39</v>
      </c>
      <c r="K320">
        <v>2023</v>
      </c>
      <c r="L320" t="s">
        <v>41</v>
      </c>
      <c r="M320" t="s">
        <v>29</v>
      </c>
      <c r="N320">
        <v>10</v>
      </c>
    </row>
    <row r="321" spans="1:14" x14ac:dyDescent="0.25">
      <c r="A321">
        <v>320</v>
      </c>
      <c r="B321" s="1" t="s">
        <v>20</v>
      </c>
      <c r="C321">
        <v>85</v>
      </c>
      <c r="D321" s="1" t="s">
        <v>37</v>
      </c>
      <c r="E321" s="1" t="s">
        <v>15</v>
      </c>
      <c r="F321" s="1" t="s">
        <v>32</v>
      </c>
      <c r="G321" s="2">
        <v>45056</v>
      </c>
      <c r="H321">
        <v>14</v>
      </c>
      <c r="I321">
        <v>24831</v>
      </c>
      <c r="J321" s="1" t="s">
        <v>17</v>
      </c>
      <c r="K321">
        <v>2023</v>
      </c>
      <c r="L321" t="s">
        <v>42</v>
      </c>
      <c r="M321" t="s">
        <v>19</v>
      </c>
      <c r="N321">
        <v>5</v>
      </c>
    </row>
    <row r="322" spans="1:14" x14ac:dyDescent="0.25">
      <c r="A322">
        <v>321</v>
      </c>
      <c r="B322" s="1" t="s">
        <v>20</v>
      </c>
      <c r="C322">
        <v>37</v>
      </c>
      <c r="D322" s="1" t="s">
        <v>45</v>
      </c>
      <c r="E322" s="1" t="s">
        <v>31</v>
      </c>
      <c r="F322" s="1" t="s">
        <v>28</v>
      </c>
      <c r="G322" s="2">
        <v>44983</v>
      </c>
      <c r="H322">
        <v>14</v>
      </c>
      <c r="I322">
        <v>37113</v>
      </c>
      <c r="J322" s="1" t="s">
        <v>24</v>
      </c>
      <c r="K322">
        <v>2023</v>
      </c>
      <c r="L322" t="s">
        <v>46</v>
      </c>
      <c r="M322" t="s">
        <v>29</v>
      </c>
      <c r="N322">
        <v>2</v>
      </c>
    </row>
    <row r="323" spans="1:14" x14ac:dyDescent="0.25">
      <c r="A323">
        <v>322</v>
      </c>
      <c r="B323" s="1" t="s">
        <v>13</v>
      </c>
      <c r="C323">
        <v>5</v>
      </c>
      <c r="D323" s="1" t="s">
        <v>21</v>
      </c>
      <c r="E323" s="1" t="s">
        <v>35</v>
      </c>
      <c r="F323" s="1" t="s">
        <v>23</v>
      </c>
      <c r="G323" s="2">
        <v>45115</v>
      </c>
      <c r="H323">
        <v>12</v>
      </c>
      <c r="I323">
        <v>18459</v>
      </c>
      <c r="J323" s="1" t="s">
        <v>24</v>
      </c>
      <c r="K323">
        <v>2023</v>
      </c>
      <c r="L323" t="s">
        <v>36</v>
      </c>
      <c r="M323" t="s">
        <v>25</v>
      </c>
      <c r="N323">
        <v>7</v>
      </c>
    </row>
    <row r="324" spans="1:14" x14ac:dyDescent="0.25">
      <c r="A324">
        <v>323</v>
      </c>
      <c r="B324" s="1" t="s">
        <v>20</v>
      </c>
      <c r="C324">
        <v>83</v>
      </c>
      <c r="D324" s="1" t="s">
        <v>21</v>
      </c>
      <c r="E324" s="1" t="s">
        <v>35</v>
      </c>
      <c r="F324" s="1" t="s">
        <v>23</v>
      </c>
      <c r="G324" s="2">
        <v>45014</v>
      </c>
      <c r="H324">
        <v>10</v>
      </c>
      <c r="I324">
        <v>34443</v>
      </c>
      <c r="J324" s="1" t="s">
        <v>39</v>
      </c>
      <c r="K324">
        <v>2023</v>
      </c>
      <c r="L324" t="s">
        <v>43</v>
      </c>
      <c r="M324" t="s">
        <v>19</v>
      </c>
      <c r="N324">
        <v>3</v>
      </c>
    </row>
    <row r="325" spans="1:14" x14ac:dyDescent="0.25">
      <c r="A325">
        <v>324</v>
      </c>
      <c r="B325" s="1" t="s">
        <v>20</v>
      </c>
      <c r="C325">
        <v>78</v>
      </c>
      <c r="D325" s="1" t="s">
        <v>14</v>
      </c>
      <c r="E325" s="1" t="s">
        <v>27</v>
      </c>
      <c r="F325" s="1" t="s">
        <v>28</v>
      </c>
      <c r="G325" s="2">
        <v>45124</v>
      </c>
      <c r="H325">
        <v>12</v>
      </c>
      <c r="I325">
        <v>44316</v>
      </c>
      <c r="J325" s="1" t="s">
        <v>24</v>
      </c>
      <c r="K325">
        <v>2023</v>
      </c>
      <c r="L325" t="s">
        <v>36</v>
      </c>
      <c r="M325" t="s">
        <v>19</v>
      </c>
      <c r="N325">
        <v>7</v>
      </c>
    </row>
    <row r="326" spans="1:14" x14ac:dyDescent="0.25">
      <c r="A326">
        <v>325</v>
      </c>
      <c r="B326" s="1" t="s">
        <v>20</v>
      </c>
      <c r="C326">
        <v>26</v>
      </c>
      <c r="D326" s="1" t="s">
        <v>45</v>
      </c>
      <c r="E326" s="1" t="s">
        <v>22</v>
      </c>
      <c r="F326" s="1" t="s">
        <v>32</v>
      </c>
      <c r="G326" s="2">
        <v>45280</v>
      </c>
      <c r="H326">
        <v>11</v>
      </c>
      <c r="I326">
        <v>32595</v>
      </c>
      <c r="J326" s="1" t="s">
        <v>24</v>
      </c>
      <c r="K326">
        <v>2023</v>
      </c>
      <c r="L326" t="s">
        <v>26</v>
      </c>
      <c r="M326" t="s">
        <v>29</v>
      </c>
      <c r="N326">
        <v>12</v>
      </c>
    </row>
    <row r="327" spans="1:14" x14ac:dyDescent="0.25">
      <c r="A327">
        <v>326</v>
      </c>
      <c r="B327" s="1" t="s">
        <v>20</v>
      </c>
      <c r="C327">
        <v>62</v>
      </c>
      <c r="D327" s="1" t="s">
        <v>30</v>
      </c>
      <c r="E327" s="1" t="s">
        <v>27</v>
      </c>
      <c r="F327" s="1" t="s">
        <v>16</v>
      </c>
      <c r="G327" s="2">
        <v>45246</v>
      </c>
      <c r="H327">
        <v>1</v>
      </c>
      <c r="I327">
        <v>7877</v>
      </c>
      <c r="J327" s="1" t="s">
        <v>24</v>
      </c>
      <c r="K327">
        <v>2023</v>
      </c>
      <c r="L327" t="s">
        <v>18</v>
      </c>
      <c r="M327" t="s">
        <v>19</v>
      </c>
      <c r="N327">
        <v>11</v>
      </c>
    </row>
    <row r="328" spans="1:14" x14ac:dyDescent="0.25">
      <c r="A328">
        <v>327</v>
      </c>
      <c r="B328" s="1" t="s">
        <v>13</v>
      </c>
      <c r="C328">
        <v>4</v>
      </c>
      <c r="D328" s="1" t="s">
        <v>45</v>
      </c>
      <c r="E328" s="1" t="s">
        <v>31</v>
      </c>
      <c r="F328" s="1" t="s">
        <v>28</v>
      </c>
      <c r="G328" s="2">
        <v>44986</v>
      </c>
      <c r="H328">
        <v>10</v>
      </c>
      <c r="I328">
        <v>41553</v>
      </c>
      <c r="J328" s="1" t="s">
        <v>24</v>
      </c>
      <c r="K328">
        <v>2023</v>
      </c>
      <c r="L328" t="s">
        <v>43</v>
      </c>
      <c r="M328" t="s">
        <v>25</v>
      </c>
      <c r="N328">
        <v>3</v>
      </c>
    </row>
    <row r="329" spans="1:14" x14ac:dyDescent="0.25">
      <c r="A329">
        <v>328</v>
      </c>
      <c r="B329" s="1" t="s">
        <v>13</v>
      </c>
      <c r="C329">
        <v>89</v>
      </c>
      <c r="D329" s="1" t="s">
        <v>37</v>
      </c>
      <c r="E329" s="1" t="s">
        <v>27</v>
      </c>
      <c r="F329" s="1" t="s">
        <v>16</v>
      </c>
      <c r="G329" s="2">
        <v>45046</v>
      </c>
      <c r="H329">
        <v>2</v>
      </c>
      <c r="I329">
        <v>6922</v>
      </c>
      <c r="J329" s="1" t="s">
        <v>39</v>
      </c>
      <c r="K329">
        <v>2023</v>
      </c>
      <c r="L329" t="s">
        <v>33</v>
      </c>
      <c r="M329" t="s">
        <v>19</v>
      </c>
      <c r="N329">
        <v>4</v>
      </c>
    </row>
    <row r="330" spans="1:14" x14ac:dyDescent="0.25">
      <c r="A330">
        <v>329</v>
      </c>
      <c r="B330" s="1" t="s">
        <v>20</v>
      </c>
      <c r="C330">
        <v>42</v>
      </c>
      <c r="D330" s="1" t="s">
        <v>30</v>
      </c>
      <c r="E330" s="1" t="s">
        <v>15</v>
      </c>
      <c r="F330" s="1" t="s">
        <v>16</v>
      </c>
      <c r="G330" s="2">
        <v>45208</v>
      </c>
      <c r="H330">
        <v>2</v>
      </c>
      <c r="I330">
        <v>6686</v>
      </c>
      <c r="J330" s="1" t="s">
        <v>24</v>
      </c>
      <c r="K330">
        <v>2023</v>
      </c>
      <c r="L330" t="s">
        <v>41</v>
      </c>
      <c r="M330" t="s">
        <v>38</v>
      </c>
      <c r="N330">
        <v>10</v>
      </c>
    </row>
    <row r="331" spans="1:14" x14ac:dyDescent="0.25">
      <c r="A331">
        <v>330</v>
      </c>
      <c r="B331" s="1" t="s">
        <v>20</v>
      </c>
      <c r="C331">
        <v>89</v>
      </c>
      <c r="D331" s="1" t="s">
        <v>21</v>
      </c>
      <c r="E331" s="1" t="s">
        <v>31</v>
      </c>
      <c r="F331" s="1" t="s">
        <v>28</v>
      </c>
      <c r="G331" s="2">
        <v>45276</v>
      </c>
      <c r="H331">
        <v>12</v>
      </c>
      <c r="I331">
        <v>34766</v>
      </c>
      <c r="J331" s="1" t="s">
        <v>39</v>
      </c>
      <c r="K331">
        <v>2023</v>
      </c>
      <c r="L331" t="s">
        <v>26</v>
      </c>
      <c r="M331" t="s">
        <v>19</v>
      </c>
      <c r="N331">
        <v>12</v>
      </c>
    </row>
    <row r="332" spans="1:14" x14ac:dyDescent="0.25">
      <c r="A332">
        <v>331</v>
      </c>
      <c r="B332" s="1" t="s">
        <v>13</v>
      </c>
      <c r="C332">
        <v>18</v>
      </c>
      <c r="D332" s="1" t="s">
        <v>45</v>
      </c>
      <c r="E332" s="1" t="s">
        <v>35</v>
      </c>
      <c r="F332" s="1" t="s">
        <v>23</v>
      </c>
      <c r="G332" s="2">
        <v>45109</v>
      </c>
      <c r="H332">
        <v>3</v>
      </c>
      <c r="I332">
        <v>16407</v>
      </c>
      <c r="J332" s="1" t="s">
        <v>39</v>
      </c>
      <c r="K332">
        <v>2023</v>
      </c>
      <c r="L332" t="s">
        <v>36</v>
      </c>
      <c r="M332" t="s">
        <v>29</v>
      </c>
      <c r="N332">
        <v>7</v>
      </c>
    </row>
    <row r="333" spans="1:14" x14ac:dyDescent="0.25">
      <c r="A333">
        <v>332</v>
      </c>
      <c r="B333" s="1" t="s">
        <v>13</v>
      </c>
      <c r="C333">
        <v>40</v>
      </c>
      <c r="D333" s="1" t="s">
        <v>34</v>
      </c>
      <c r="E333" s="1" t="s">
        <v>22</v>
      </c>
      <c r="F333" s="1" t="s">
        <v>16</v>
      </c>
      <c r="G333" s="2">
        <v>45103</v>
      </c>
      <c r="H333">
        <v>10</v>
      </c>
      <c r="I333">
        <v>34006</v>
      </c>
      <c r="J333" s="1" t="s">
        <v>39</v>
      </c>
      <c r="K333">
        <v>2023</v>
      </c>
      <c r="L333" t="s">
        <v>40</v>
      </c>
      <c r="M333" t="s">
        <v>38</v>
      </c>
      <c r="N333">
        <v>6</v>
      </c>
    </row>
    <row r="334" spans="1:14" x14ac:dyDescent="0.25">
      <c r="A334">
        <v>333</v>
      </c>
      <c r="B334" s="1" t="s">
        <v>20</v>
      </c>
      <c r="C334">
        <v>72</v>
      </c>
      <c r="D334" s="1" t="s">
        <v>14</v>
      </c>
      <c r="E334" s="1" t="s">
        <v>31</v>
      </c>
      <c r="F334" s="1" t="s">
        <v>16</v>
      </c>
      <c r="G334" s="2">
        <v>45176</v>
      </c>
      <c r="H334">
        <v>7</v>
      </c>
      <c r="I334">
        <v>33422</v>
      </c>
      <c r="J334" s="1" t="s">
        <v>24</v>
      </c>
      <c r="K334">
        <v>2023</v>
      </c>
      <c r="L334" t="s">
        <v>44</v>
      </c>
      <c r="M334" t="s">
        <v>19</v>
      </c>
      <c r="N334">
        <v>9</v>
      </c>
    </row>
    <row r="335" spans="1:14" x14ac:dyDescent="0.25">
      <c r="A335">
        <v>334</v>
      </c>
      <c r="B335" s="1" t="s">
        <v>13</v>
      </c>
      <c r="C335">
        <v>39</v>
      </c>
      <c r="D335" s="1" t="s">
        <v>34</v>
      </c>
      <c r="E335" s="1" t="s">
        <v>31</v>
      </c>
      <c r="F335" s="1" t="s">
        <v>32</v>
      </c>
      <c r="G335" s="2">
        <v>44936</v>
      </c>
      <c r="H335">
        <v>2</v>
      </c>
      <c r="I335">
        <v>14205</v>
      </c>
      <c r="J335" s="1" t="s">
        <v>24</v>
      </c>
      <c r="K335">
        <v>2023</v>
      </c>
      <c r="L335" t="s">
        <v>48</v>
      </c>
      <c r="M335" t="s">
        <v>29</v>
      </c>
      <c r="N335">
        <v>1</v>
      </c>
    </row>
    <row r="336" spans="1:14" x14ac:dyDescent="0.25">
      <c r="A336">
        <v>335</v>
      </c>
      <c r="B336" s="1" t="s">
        <v>20</v>
      </c>
      <c r="C336">
        <v>14</v>
      </c>
      <c r="D336" s="1" t="s">
        <v>14</v>
      </c>
      <c r="E336" s="1" t="s">
        <v>15</v>
      </c>
      <c r="F336" s="1" t="s">
        <v>23</v>
      </c>
      <c r="G336" s="2">
        <v>45089</v>
      </c>
      <c r="H336">
        <v>14</v>
      </c>
      <c r="I336">
        <v>23054</v>
      </c>
      <c r="J336" s="1" t="s">
        <v>24</v>
      </c>
      <c r="K336">
        <v>2023</v>
      </c>
      <c r="L336" t="s">
        <v>40</v>
      </c>
      <c r="M336" t="s">
        <v>25</v>
      </c>
      <c r="N336">
        <v>6</v>
      </c>
    </row>
    <row r="337" spans="1:14" x14ac:dyDescent="0.25">
      <c r="A337">
        <v>336</v>
      </c>
      <c r="B337" s="1" t="s">
        <v>20</v>
      </c>
      <c r="C337">
        <v>32</v>
      </c>
      <c r="D337" s="1" t="s">
        <v>37</v>
      </c>
      <c r="E337" s="1" t="s">
        <v>22</v>
      </c>
      <c r="F337" s="1" t="s">
        <v>16</v>
      </c>
      <c r="G337" s="2">
        <v>45149</v>
      </c>
      <c r="H337">
        <v>1</v>
      </c>
      <c r="I337">
        <v>25527</v>
      </c>
      <c r="J337" s="1" t="s">
        <v>24</v>
      </c>
      <c r="K337">
        <v>2023</v>
      </c>
      <c r="L337" t="s">
        <v>47</v>
      </c>
      <c r="M337" t="s">
        <v>29</v>
      </c>
      <c r="N337">
        <v>8</v>
      </c>
    </row>
    <row r="338" spans="1:14" x14ac:dyDescent="0.25">
      <c r="A338">
        <v>337</v>
      </c>
      <c r="B338" s="1" t="s">
        <v>13</v>
      </c>
      <c r="C338">
        <v>51</v>
      </c>
      <c r="D338" s="1" t="s">
        <v>34</v>
      </c>
      <c r="E338" s="1" t="s">
        <v>35</v>
      </c>
      <c r="F338" s="1" t="s">
        <v>32</v>
      </c>
      <c r="G338" s="2">
        <v>45203</v>
      </c>
      <c r="H338">
        <v>14</v>
      </c>
      <c r="I338">
        <v>47947</v>
      </c>
      <c r="J338" s="1" t="s">
        <v>39</v>
      </c>
      <c r="K338">
        <v>2023</v>
      </c>
      <c r="L338" t="s">
        <v>41</v>
      </c>
      <c r="M338" t="s">
        <v>38</v>
      </c>
      <c r="N338">
        <v>10</v>
      </c>
    </row>
    <row r="339" spans="1:14" x14ac:dyDescent="0.25">
      <c r="A339">
        <v>338</v>
      </c>
      <c r="B339" s="1" t="s">
        <v>13</v>
      </c>
      <c r="C339">
        <v>38</v>
      </c>
      <c r="D339" s="1" t="s">
        <v>45</v>
      </c>
      <c r="E339" s="1" t="s">
        <v>31</v>
      </c>
      <c r="F339" s="1" t="s">
        <v>23</v>
      </c>
      <c r="G339" s="2">
        <v>45106</v>
      </c>
      <c r="H339">
        <v>6</v>
      </c>
      <c r="I339">
        <v>20443</v>
      </c>
      <c r="J339" s="1" t="s">
        <v>24</v>
      </c>
      <c r="K339">
        <v>2023</v>
      </c>
      <c r="L339" t="s">
        <v>40</v>
      </c>
      <c r="M339" t="s">
        <v>29</v>
      </c>
      <c r="N339">
        <v>6</v>
      </c>
    </row>
    <row r="340" spans="1:14" x14ac:dyDescent="0.25">
      <c r="A340">
        <v>339</v>
      </c>
      <c r="B340" s="1" t="s">
        <v>20</v>
      </c>
      <c r="C340">
        <v>23</v>
      </c>
      <c r="D340" s="1" t="s">
        <v>45</v>
      </c>
      <c r="E340" s="1" t="s">
        <v>31</v>
      </c>
      <c r="F340" s="1" t="s">
        <v>28</v>
      </c>
      <c r="G340" s="2">
        <v>45187</v>
      </c>
      <c r="H340">
        <v>9</v>
      </c>
      <c r="I340">
        <v>18524</v>
      </c>
      <c r="J340" s="1" t="s">
        <v>24</v>
      </c>
      <c r="K340">
        <v>2023</v>
      </c>
      <c r="L340" t="s">
        <v>44</v>
      </c>
      <c r="M340" t="s">
        <v>29</v>
      </c>
      <c r="N340">
        <v>9</v>
      </c>
    </row>
    <row r="341" spans="1:14" x14ac:dyDescent="0.25">
      <c r="A341">
        <v>340</v>
      </c>
      <c r="B341" s="1" t="s">
        <v>20</v>
      </c>
      <c r="C341">
        <v>63</v>
      </c>
      <c r="D341" s="1" t="s">
        <v>34</v>
      </c>
      <c r="E341" s="1" t="s">
        <v>15</v>
      </c>
      <c r="F341" s="1" t="s">
        <v>28</v>
      </c>
      <c r="G341" s="2">
        <v>45188</v>
      </c>
      <c r="H341">
        <v>3</v>
      </c>
      <c r="I341">
        <v>30202</v>
      </c>
      <c r="J341" s="1" t="s">
        <v>24</v>
      </c>
      <c r="K341">
        <v>2023</v>
      </c>
      <c r="L341" t="s">
        <v>44</v>
      </c>
      <c r="M341" t="s">
        <v>19</v>
      </c>
      <c r="N341">
        <v>9</v>
      </c>
    </row>
    <row r="342" spans="1:14" x14ac:dyDescent="0.25">
      <c r="A342">
        <v>341</v>
      </c>
      <c r="B342" s="1" t="s">
        <v>13</v>
      </c>
      <c r="C342">
        <v>15</v>
      </c>
      <c r="D342" s="1" t="s">
        <v>45</v>
      </c>
      <c r="E342" s="1" t="s">
        <v>27</v>
      </c>
      <c r="F342" s="1" t="s">
        <v>32</v>
      </c>
      <c r="G342" s="2">
        <v>44989</v>
      </c>
      <c r="H342">
        <v>6</v>
      </c>
      <c r="I342">
        <v>2016</v>
      </c>
      <c r="J342" s="1" t="s">
        <v>39</v>
      </c>
      <c r="K342">
        <v>2023</v>
      </c>
      <c r="L342" t="s">
        <v>43</v>
      </c>
      <c r="M342" t="s">
        <v>25</v>
      </c>
      <c r="N342">
        <v>3</v>
      </c>
    </row>
    <row r="343" spans="1:14" x14ac:dyDescent="0.25">
      <c r="A343">
        <v>342</v>
      </c>
      <c r="B343" s="1" t="s">
        <v>20</v>
      </c>
      <c r="C343">
        <v>25</v>
      </c>
      <c r="D343" s="1" t="s">
        <v>37</v>
      </c>
      <c r="E343" s="1" t="s">
        <v>35</v>
      </c>
      <c r="F343" s="1" t="s">
        <v>28</v>
      </c>
      <c r="G343" s="2">
        <v>45040</v>
      </c>
      <c r="H343">
        <v>3</v>
      </c>
      <c r="I343">
        <v>48142</v>
      </c>
      <c r="J343" s="1" t="s">
        <v>39</v>
      </c>
      <c r="K343">
        <v>2023</v>
      </c>
      <c r="L343" t="s">
        <v>33</v>
      </c>
      <c r="M343" t="s">
        <v>29</v>
      </c>
      <c r="N343">
        <v>4</v>
      </c>
    </row>
    <row r="344" spans="1:14" x14ac:dyDescent="0.25">
      <c r="A344">
        <v>343</v>
      </c>
      <c r="B344" s="1" t="s">
        <v>13</v>
      </c>
      <c r="C344">
        <v>17</v>
      </c>
      <c r="D344" s="1" t="s">
        <v>30</v>
      </c>
      <c r="E344" s="1" t="s">
        <v>22</v>
      </c>
      <c r="F344" s="1" t="s">
        <v>16</v>
      </c>
      <c r="G344" s="2">
        <v>45086</v>
      </c>
      <c r="H344">
        <v>14</v>
      </c>
      <c r="I344">
        <v>18848</v>
      </c>
      <c r="J344" s="1" t="s">
        <v>24</v>
      </c>
      <c r="K344">
        <v>2023</v>
      </c>
      <c r="L344" t="s">
        <v>40</v>
      </c>
      <c r="M344" t="s">
        <v>25</v>
      </c>
      <c r="N344">
        <v>6</v>
      </c>
    </row>
    <row r="345" spans="1:14" x14ac:dyDescent="0.25">
      <c r="A345">
        <v>344</v>
      </c>
      <c r="B345" s="1" t="s">
        <v>20</v>
      </c>
      <c r="C345">
        <v>66</v>
      </c>
      <c r="D345" s="1" t="s">
        <v>37</v>
      </c>
      <c r="E345" s="1" t="s">
        <v>31</v>
      </c>
      <c r="F345" s="1" t="s">
        <v>23</v>
      </c>
      <c r="G345" s="2">
        <v>44953</v>
      </c>
      <c r="H345">
        <v>13</v>
      </c>
      <c r="I345">
        <v>22855</v>
      </c>
      <c r="J345" s="1" t="s">
        <v>39</v>
      </c>
      <c r="K345">
        <v>2023</v>
      </c>
      <c r="L345" t="s">
        <v>48</v>
      </c>
      <c r="M345" t="s">
        <v>19</v>
      </c>
      <c r="N345">
        <v>1</v>
      </c>
    </row>
    <row r="346" spans="1:14" x14ac:dyDescent="0.25">
      <c r="A346">
        <v>345</v>
      </c>
      <c r="B346" s="1" t="s">
        <v>13</v>
      </c>
      <c r="C346">
        <v>78</v>
      </c>
      <c r="D346" s="1" t="s">
        <v>14</v>
      </c>
      <c r="E346" s="1" t="s">
        <v>31</v>
      </c>
      <c r="F346" s="1" t="s">
        <v>16</v>
      </c>
      <c r="G346" s="2">
        <v>45194</v>
      </c>
      <c r="H346">
        <v>1</v>
      </c>
      <c r="I346">
        <v>20211</v>
      </c>
      <c r="J346" s="1" t="s">
        <v>24</v>
      </c>
      <c r="K346">
        <v>2023</v>
      </c>
      <c r="L346" t="s">
        <v>44</v>
      </c>
      <c r="M346" t="s">
        <v>19</v>
      </c>
      <c r="N346">
        <v>9</v>
      </c>
    </row>
    <row r="347" spans="1:14" x14ac:dyDescent="0.25">
      <c r="A347">
        <v>346</v>
      </c>
      <c r="B347" s="1" t="s">
        <v>13</v>
      </c>
      <c r="C347">
        <v>53</v>
      </c>
      <c r="D347" s="1" t="s">
        <v>37</v>
      </c>
      <c r="E347" s="1" t="s">
        <v>35</v>
      </c>
      <c r="F347" s="1" t="s">
        <v>16</v>
      </c>
      <c r="G347" s="2">
        <v>44997</v>
      </c>
      <c r="H347">
        <v>14</v>
      </c>
      <c r="I347">
        <v>27095</v>
      </c>
      <c r="J347" s="1" t="s">
        <v>24</v>
      </c>
      <c r="K347">
        <v>2023</v>
      </c>
      <c r="L347" t="s">
        <v>43</v>
      </c>
      <c r="M347" t="s">
        <v>38</v>
      </c>
      <c r="N347">
        <v>3</v>
      </c>
    </row>
    <row r="348" spans="1:14" x14ac:dyDescent="0.25">
      <c r="A348">
        <v>347</v>
      </c>
      <c r="B348" s="1" t="s">
        <v>13</v>
      </c>
      <c r="C348">
        <v>51</v>
      </c>
      <c r="D348" s="1" t="s">
        <v>14</v>
      </c>
      <c r="E348" s="1" t="s">
        <v>27</v>
      </c>
      <c r="F348" s="1" t="s">
        <v>28</v>
      </c>
      <c r="G348" s="2">
        <v>45245</v>
      </c>
      <c r="H348">
        <v>13</v>
      </c>
      <c r="I348">
        <v>40724</v>
      </c>
      <c r="J348" s="1" t="s">
        <v>39</v>
      </c>
      <c r="K348">
        <v>2023</v>
      </c>
      <c r="L348" t="s">
        <v>18</v>
      </c>
      <c r="M348" t="s">
        <v>38</v>
      </c>
      <c r="N348">
        <v>11</v>
      </c>
    </row>
    <row r="349" spans="1:14" x14ac:dyDescent="0.25">
      <c r="A349">
        <v>348</v>
      </c>
      <c r="B349" s="1" t="s">
        <v>20</v>
      </c>
      <c r="C349">
        <v>39</v>
      </c>
      <c r="D349" s="1" t="s">
        <v>45</v>
      </c>
      <c r="E349" s="1" t="s">
        <v>31</v>
      </c>
      <c r="F349" s="1" t="s">
        <v>16</v>
      </c>
      <c r="G349" s="2">
        <v>45084</v>
      </c>
      <c r="H349">
        <v>12</v>
      </c>
      <c r="I349">
        <v>39583</v>
      </c>
      <c r="J349" s="1" t="s">
        <v>24</v>
      </c>
      <c r="K349">
        <v>2023</v>
      </c>
      <c r="L349" t="s">
        <v>40</v>
      </c>
      <c r="M349" t="s">
        <v>29</v>
      </c>
      <c r="N349">
        <v>6</v>
      </c>
    </row>
    <row r="350" spans="1:14" x14ac:dyDescent="0.25">
      <c r="A350">
        <v>349</v>
      </c>
      <c r="B350" s="1" t="s">
        <v>20</v>
      </c>
      <c r="C350">
        <v>51</v>
      </c>
      <c r="D350" s="1" t="s">
        <v>30</v>
      </c>
      <c r="E350" s="1" t="s">
        <v>35</v>
      </c>
      <c r="F350" s="1" t="s">
        <v>28</v>
      </c>
      <c r="G350" s="2">
        <v>45176</v>
      </c>
      <c r="H350">
        <v>5</v>
      </c>
      <c r="I350">
        <v>4843</v>
      </c>
      <c r="J350" s="1" t="s">
        <v>17</v>
      </c>
      <c r="K350">
        <v>2023</v>
      </c>
      <c r="L350" t="s">
        <v>44</v>
      </c>
      <c r="M350" t="s">
        <v>38</v>
      </c>
      <c r="N350">
        <v>9</v>
      </c>
    </row>
    <row r="351" spans="1:14" x14ac:dyDescent="0.25">
      <c r="A351">
        <v>350</v>
      </c>
      <c r="B351" s="1" t="s">
        <v>13</v>
      </c>
      <c r="C351">
        <v>70</v>
      </c>
      <c r="D351" s="1" t="s">
        <v>45</v>
      </c>
      <c r="E351" s="1" t="s">
        <v>15</v>
      </c>
      <c r="F351" s="1" t="s">
        <v>23</v>
      </c>
      <c r="G351" s="2">
        <v>45264</v>
      </c>
      <c r="H351">
        <v>10</v>
      </c>
      <c r="I351">
        <v>31301</v>
      </c>
      <c r="J351" s="1" t="s">
        <v>24</v>
      </c>
      <c r="K351">
        <v>2023</v>
      </c>
      <c r="L351" t="s">
        <v>26</v>
      </c>
      <c r="M351" t="s">
        <v>19</v>
      </c>
      <c r="N351">
        <v>12</v>
      </c>
    </row>
    <row r="352" spans="1:14" x14ac:dyDescent="0.25">
      <c r="A352">
        <v>351</v>
      </c>
      <c r="B352" s="1" t="s">
        <v>20</v>
      </c>
      <c r="C352">
        <v>6</v>
      </c>
      <c r="D352" s="1" t="s">
        <v>21</v>
      </c>
      <c r="E352" s="1" t="s">
        <v>27</v>
      </c>
      <c r="F352" s="1" t="s">
        <v>23</v>
      </c>
      <c r="G352" s="2">
        <v>44969</v>
      </c>
      <c r="H352">
        <v>14</v>
      </c>
      <c r="I352">
        <v>28460</v>
      </c>
      <c r="J352" s="1" t="s">
        <v>24</v>
      </c>
      <c r="K352">
        <v>2023</v>
      </c>
      <c r="L352" t="s">
        <v>46</v>
      </c>
      <c r="M352" t="s">
        <v>25</v>
      </c>
      <c r="N352">
        <v>2</v>
      </c>
    </row>
    <row r="353" spans="1:14" x14ac:dyDescent="0.25">
      <c r="A353">
        <v>352</v>
      </c>
      <c r="B353" s="1" t="s">
        <v>13</v>
      </c>
      <c r="C353">
        <v>67</v>
      </c>
      <c r="D353" s="1" t="s">
        <v>45</v>
      </c>
      <c r="E353" s="1" t="s">
        <v>22</v>
      </c>
      <c r="F353" s="1" t="s">
        <v>16</v>
      </c>
      <c r="G353" s="2">
        <v>44949</v>
      </c>
      <c r="H353">
        <v>13</v>
      </c>
      <c r="I353">
        <v>33918</v>
      </c>
      <c r="J353" s="1" t="s">
        <v>17</v>
      </c>
      <c r="K353">
        <v>2023</v>
      </c>
      <c r="L353" t="s">
        <v>48</v>
      </c>
      <c r="M353" t="s">
        <v>19</v>
      </c>
      <c r="N353">
        <v>1</v>
      </c>
    </row>
    <row r="354" spans="1:14" x14ac:dyDescent="0.25">
      <c r="A354">
        <v>353</v>
      </c>
      <c r="B354" s="1" t="s">
        <v>13</v>
      </c>
      <c r="C354">
        <v>7</v>
      </c>
      <c r="D354" s="1" t="s">
        <v>14</v>
      </c>
      <c r="E354" s="1" t="s">
        <v>31</v>
      </c>
      <c r="F354" s="1" t="s">
        <v>32</v>
      </c>
      <c r="G354" s="2">
        <v>45214</v>
      </c>
      <c r="H354">
        <v>11</v>
      </c>
      <c r="I354">
        <v>30747</v>
      </c>
      <c r="J354" s="1" t="s">
        <v>24</v>
      </c>
      <c r="K354">
        <v>2023</v>
      </c>
      <c r="L354" t="s">
        <v>41</v>
      </c>
      <c r="M354" t="s">
        <v>25</v>
      </c>
      <c r="N354">
        <v>10</v>
      </c>
    </row>
    <row r="355" spans="1:14" x14ac:dyDescent="0.25">
      <c r="A355">
        <v>354</v>
      </c>
      <c r="B355" s="1" t="s">
        <v>20</v>
      </c>
      <c r="C355">
        <v>51</v>
      </c>
      <c r="D355" s="1" t="s">
        <v>45</v>
      </c>
      <c r="E355" s="1" t="s">
        <v>35</v>
      </c>
      <c r="F355" s="1" t="s">
        <v>28</v>
      </c>
      <c r="G355" s="2">
        <v>45211</v>
      </c>
      <c r="H355">
        <v>4</v>
      </c>
      <c r="I355">
        <v>17972</v>
      </c>
      <c r="J355" s="1" t="s">
        <v>17</v>
      </c>
      <c r="K355">
        <v>2023</v>
      </c>
      <c r="L355" t="s">
        <v>41</v>
      </c>
      <c r="M355" t="s">
        <v>38</v>
      </c>
      <c r="N355">
        <v>10</v>
      </c>
    </row>
    <row r="356" spans="1:14" x14ac:dyDescent="0.25">
      <c r="A356">
        <v>355</v>
      </c>
      <c r="B356" s="1" t="s">
        <v>20</v>
      </c>
      <c r="C356">
        <v>72</v>
      </c>
      <c r="D356" s="1" t="s">
        <v>45</v>
      </c>
      <c r="E356" s="1" t="s">
        <v>15</v>
      </c>
      <c r="F356" s="1" t="s">
        <v>28</v>
      </c>
      <c r="G356" s="2">
        <v>45024</v>
      </c>
      <c r="H356">
        <v>7</v>
      </c>
      <c r="I356">
        <v>30310</v>
      </c>
      <c r="J356" s="1" t="s">
        <v>17</v>
      </c>
      <c r="K356">
        <v>2023</v>
      </c>
      <c r="L356" t="s">
        <v>33</v>
      </c>
      <c r="M356" t="s">
        <v>19</v>
      </c>
      <c r="N356">
        <v>4</v>
      </c>
    </row>
    <row r="357" spans="1:14" x14ac:dyDescent="0.25">
      <c r="A357">
        <v>356</v>
      </c>
      <c r="B357" s="1" t="s">
        <v>13</v>
      </c>
      <c r="C357">
        <v>42</v>
      </c>
      <c r="D357" s="1" t="s">
        <v>30</v>
      </c>
      <c r="E357" s="1" t="s">
        <v>22</v>
      </c>
      <c r="F357" s="1" t="s">
        <v>16</v>
      </c>
      <c r="G357" s="2">
        <v>45130</v>
      </c>
      <c r="H357">
        <v>6</v>
      </c>
      <c r="I357">
        <v>24927</v>
      </c>
      <c r="J357" s="1" t="s">
        <v>24</v>
      </c>
      <c r="K357">
        <v>2023</v>
      </c>
      <c r="L357" t="s">
        <v>36</v>
      </c>
      <c r="M357" t="s">
        <v>38</v>
      </c>
      <c r="N357">
        <v>7</v>
      </c>
    </row>
    <row r="358" spans="1:14" x14ac:dyDescent="0.25">
      <c r="A358">
        <v>357</v>
      </c>
      <c r="B358" s="1" t="s">
        <v>20</v>
      </c>
      <c r="C358">
        <v>64</v>
      </c>
      <c r="D358" s="1" t="s">
        <v>45</v>
      </c>
      <c r="E358" s="1" t="s">
        <v>35</v>
      </c>
      <c r="F358" s="1" t="s">
        <v>28</v>
      </c>
      <c r="G358" s="2">
        <v>45226</v>
      </c>
      <c r="H358">
        <v>10</v>
      </c>
      <c r="I358">
        <v>3094</v>
      </c>
      <c r="J358" s="1" t="s">
        <v>24</v>
      </c>
      <c r="K358">
        <v>2023</v>
      </c>
      <c r="L358" t="s">
        <v>41</v>
      </c>
      <c r="M358" t="s">
        <v>19</v>
      </c>
      <c r="N358">
        <v>10</v>
      </c>
    </row>
    <row r="359" spans="1:14" x14ac:dyDescent="0.25">
      <c r="A359">
        <v>358</v>
      </c>
      <c r="B359" s="1" t="s">
        <v>20</v>
      </c>
      <c r="C359">
        <v>15</v>
      </c>
      <c r="D359" s="1" t="s">
        <v>30</v>
      </c>
      <c r="E359" s="1" t="s">
        <v>35</v>
      </c>
      <c r="F359" s="1" t="s">
        <v>28</v>
      </c>
      <c r="G359" s="2">
        <v>45104</v>
      </c>
      <c r="H359">
        <v>7</v>
      </c>
      <c r="I359">
        <v>40892</v>
      </c>
      <c r="J359" s="1" t="s">
        <v>24</v>
      </c>
      <c r="K359">
        <v>2023</v>
      </c>
      <c r="L359" t="s">
        <v>40</v>
      </c>
      <c r="M359" t="s">
        <v>25</v>
      </c>
      <c r="N359">
        <v>6</v>
      </c>
    </row>
    <row r="360" spans="1:14" x14ac:dyDescent="0.25">
      <c r="A360">
        <v>359</v>
      </c>
      <c r="B360" s="1" t="s">
        <v>13</v>
      </c>
      <c r="C360">
        <v>29</v>
      </c>
      <c r="D360" s="1" t="s">
        <v>34</v>
      </c>
      <c r="E360" s="1" t="s">
        <v>22</v>
      </c>
      <c r="F360" s="1" t="s">
        <v>32</v>
      </c>
      <c r="G360" s="2">
        <v>44937</v>
      </c>
      <c r="H360">
        <v>5</v>
      </c>
      <c r="I360">
        <v>36172</v>
      </c>
      <c r="J360" s="1" t="s">
        <v>24</v>
      </c>
      <c r="K360">
        <v>2023</v>
      </c>
      <c r="L360" t="s">
        <v>48</v>
      </c>
      <c r="M360" t="s">
        <v>29</v>
      </c>
      <c r="N360">
        <v>1</v>
      </c>
    </row>
    <row r="361" spans="1:14" x14ac:dyDescent="0.25">
      <c r="A361">
        <v>360</v>
      </c>
      <c r="B361" s="1" t="s">
        <v>13</v>
      </c>
      <c r="C361">
        <v>33</v>
      </c>
      <c r="D361" s="1" t="s">
        <v>21</v>
      </c>
      <c r="E361" s="1" t="s">
        <v>15</v>
      </c>
      <c r="F361" s="1" t="s">
        <v>32</v>
      </c>
      <c r="G361" s="2">
        <v>45121</v>
      </c>
      <c r="H361">
        <v>4</v>
      </c>
      <c r="I361">
        <v>25324</v>
      </c>
      <c r="J361" s="1" t="s">
        <v>24</v>
      </c>
      <c r="K361">
        <v>2023</v>
      </c>
      <c r="L361" t="s">
        <v>36</v>
      </c>
      <c r="M361" t="s">
        <v>29</v>
      </c>
      <c r="N361">
        <v>7</v>
      </c>
    </row>
    <row r="362" spans="1:14" x14ac:dyDescent="0.25">
      <c r="A362">
        <v>361</v>
      </c>
      <c r="B362" s="1" t="s">
        <v>20</v>
      </c>
      <c r="C362">
        <v>27</v>
      </c>
      <c r="D362" s="1" t="s">
        <v>30</v>
      </c>
      <c r="E362" s="1" t="s">
        <v>15</v>
      </c>
      <c r="F362" s="1" t="s">
        <v>16</v>
      </c>
      <c r="G362" s="2">
        <v>45054</v>
      </c>
      <c r="H362">
        <v>7</v>
      </c>
      <c r="I362">
        <v>22674</v>
      </c>
      <c r="J362" s="1" t="s">
        <v>24</v>
      </c>
      <c r="K362">
        <v>2023</v>
      </c>
      <c r="L362" t="s">
        <v>42</v>
      </c>
      <c r="M362" t="s">
        <v>29</v>
      </c>
      <c r="N362">
        <v>5</v>
      </c>
    </row>
    <row r="363" spans="1:14" x14ac:dyDescent="0.25">
      <c r="A363">
        <v>362</v>
      </c>
      <c r="B363" s="1" t="s">
        <v>13</v>
      </c>
      <c r="C363">
        <v>36</v>
      </c>
      <c r="D363" s="1" t="s">
        <v>14</v>
      </c>
      <c r="E363" s="1" t="s">
        <v>27</v>
      </c>
      <c r="F363" s="1" t="s">
        <v>32</v>
      </c>
      <c r="G363" s="2">
        <v>44959</v>
      </c>
      <c r="H363">
        <v>7</v>
      </c>
      <c r="I363">
        <v>5982</v>
      </c>
      <c r="J363" s="1" t="s">
        <v>24</v>
      </c>
      <c r="K363">
        <v>2023</v>
      </c>
      <c r="L363" t="s">
        <v>46</v>
      </c>
      <c r="M363" t="s">
        <v>29</v>
      </c>
      <c r="N363">
        <v>2</v>
      </c>
    </row>
    <row r="364" spans="1:14" x14ac:dyDescent="0.25">
      <c r="A364">
        <v>363</v>
      </c>
      <c r="B364" s="1" t="s">
        <v>13</v>
      </c>
      <c r="C364">
        <v>29</v>
      </c>
      <c r="D364" s="1" t="s">
        <v>34</v>
      </c>
      <c r="E364" s="1" t="s">
        <v>31</v>
      </c>
      <c r="F364" s="1" t="s">
        <v>16</v>
      </c>
      <c r="G364" s="2">
        <v>45009</v>
      </c>
      <c r="H364">
        <v>6</v>
      </c>
      <c r="I364">
        <v>47283</v>
      </c>
      <c r="J364" s="1" t="s">
        <v>24</v>
      </c>
      <c r="K364">
        <v>2023</v>
      </c>
      <c r="L364" t="s">
        <v>43</v>
      </c>
      <c r="M364" t="s">
        <v>29</v>
      </c>
      <c r="N364">
        <v>3</v>
      </c>
    </row>
    <row r="365" spans="1:14" x14ac:dyDescent="0.25">
      <c r="A365">
        <v>364</v>
      </c>
      <c r="B365" s="1" t="s">
        <v>20</v>
      </c>
      <c r="C365">
        <v>38</v>
      </c>
      <c r="D365" s="1" t="s">
        <v>30</v>
      </c>
      <c r="E365" s="1" t="s">
        <v>22</v>
      </c>
      <c r="F365" s="1" t="s">
        <v>23</v>
      </c>
      <c r="G365" s="2">
        <v>45011</v>
      </c>
      <c r="H365">
        <v>8</v>
      </c>
      <c r="I365">
        <v>17790</v>
      </c>
      <c r="J365" s="1" t="s">
        <v>17</v>
      </c>
      <c r="K365">
        <v>2023</v>
      </c>
      <c r="L365" t="s">
        <v>43</v>
      </c>
      <c r="M365" t="s">
        <v>29</v>
      </c>
      <c r="N365">
        <v>3</v>
      </c>
    </row>
    <row r="366" spans="1:14" x14ac:dyDescent="0.25">
      <c r="A366">
        <v>365</v>
      </c>
      <c r="B366" s="1" t="s">
        <v>13</v>
      </c>
      <c r="C366">
        <v>57</v>
      </c>
      <c r="D366" s="1" t="s">
        <v>30</v>
      </c>
      <c r="E366" s="1" t="s">
        <v>22</v>
      </c>
      <c r="F366" s="1" t="s">
        <v>16</v>
      </c>
      <c r="G366" s="2">
        <v>45089</v>
      </c>
      <c r="H366">
        <v>4</v>
      </c>
      <c r="I366">
        <v>14205</v>
      </c>
      <c r="J366" s="1" t="s">
        <v>39</v>
      </c>
      <c r="K366">
        <v>2023</v>
      </c>
      <c r="L366" t="s">
        <v>40</v>
      </c>
      <c r="M366" t="s">
        <v>38</v>
      </c>
      <c r="N366">
        <v>6</v>
      </c>
    </row>
    <row r="367" spans="1:14" x14ac:dyDescent="0.25">
      <c r="A367">
        <v>366</v>
      </c>
      <c r="B367" s="1" t="s">
        <v>13</v>
      </c>
      <c r="C367">
        <v>27</v>
      </c>
      <c r="D367" s="1" t="s">
        <v>21</v>
      </c>
      <c r="E367" s="1" t="s">
        <v>22</v>
      </c>
      <c r="F367" s="1" t="s">
        <v>23</v>
      </c>
      <c r="G367" s="2">
        <v>45194</v>
      </c>
      <c r="H367">
        <v>10</v>
      </c>
      <c r="I367">
        <v>26338</v>
      </c>
      <c r="J367" s="1" t="s">
        <v>39</v>
      </c>
      <c r="K367">
        <v>2023</v>
      </c>
      <c r="L367" t="s">
        <v>44</v>
      </c>
      <c r="M367" t="s">
        <v>29</v>
      </c>
      <c r="N367">
        <v>9</v>
      </c>
    </row>
    <row r="368" spans="1:14" x14ac:dyDescent="0.25">
      <c r="A368">
        <v>367</v>
      </c>
      <c r="B368" s="1" t="s">
        <v>20</v>
      </c>
      <c r="C368">
        <v>55</v>
      </c>
      <c r="D368" s="1" t="s">
        <v>14</v>
      </c>
      <c r="E368" s="1" t="s">
        <v>15</v>
      </c>
      <c r="F368" s="1" t="s">
        <v>16</v>
      </c>
      <c r="G368" s="2">
        <v>45069</v>
      </c>
      <c r="H368">
        <v>5</v>
      </c>
      <c r="I368">
        <v>14748</v>
      </c>
      <c r="J368" s="1" t="s">
        <v>24</v>
      </c>
      <c r="K368">
        <v>2023</v>
      </c>
      <c r="L368" t="s">
        <v>42</v>
      </c>
      <c r="M368" t="s">
        <v>38</v>
      </c>
      <c r="N368">
        <v>5</v>
      </c>
    </row>
    <row r="369" spans="1:14" x14ac:dyDescent="0.25">
      <c r="A369">
        <v>368</v>
      </c>
      <c r="B369" s="1" t="s">
        <v>20</v>
      </c>
      <c r="C369">
        <v>33</v>
      </c>
      <c r="D369" s="1" t="s">
        <v>37</v>
      </c>
      <c r="E369" s="1" t="s">
        <v>31</v>
      </c>
      <c r="F369" s="1" t="s">
        <v>28</v>
      </c>
      <c r="G369" s="2">
        <v>45051</v>
      </c>
      <c r="H369">
        <v>4</v>
      </c>
      <c r="I369">
        <v>23097</v>
      </c>
      <c r="J369" s="1" t="s">
        <v>39</v>
      </c>
      <c r="K369">
        <v>2023</v>
      </c>
      <c r="L369" t="s">
        <v>42</v>
      </c>
      <c r="M369" t="s">
        <v>29</v>
      </c>
      <c r="N369">
        <v>5</v>
      </c>
    </row>
    <row r="370" spans="1:14" x14ac:dyDescent="0.25">
      <c r="A370">
        <v>369</v>
      </c>
      <c r="B370" s="1" t="s">
        <v>13</v>
      </c>
      <c r="C370">
        <v>68</v>
      </c>
      <c r="D370" s="1" t="s">
        <v>37</v>
      </c>
      <c r="E370" s="1" t="s">
        <v>27</v>
      </c>
      <c r="F370" s="1" t="s">
        <v>32</v>
      </c>
      <c r="G370" s="2">
        <v>45088</v>
      </c>
      <c r="H370">
        <v>12</v>
      </c>
      <c r="I370">
        <v>5092</v>
      </c>
      <c r="J370" s="1" t="s">
        <v>24</v>
      </c>
      <c r="K370">
        <v>2023</v>
      </c>
      <c r="L370" t="s">
        <v>40</v>
      </c>
      <c r="M370" t="s">
        <v>19</v>
      </c>
      <c r="N370">
        <v>6</v>
      </c>
    </row>
    <row r="371" spans="1:14" x14ac:dyDescent="0.25">
      <c r="A371">
        <v>370</v>
      </c>
      <c r="B371" s="1" t="s">
        <v>13</v>
      </c>
      <c r="C371">
        <v>86</v>
      </c>
      <c r="D371" s="1" t="s">
        <v>30</v>
      </c>
      <c r="E371" s="1" t="s">
        <v>35</v>
      </c>
      <c r="F371" s="1" t="s">
        <v>23</v>
      </c>
      <c r="G371" s="2">
        <v>45264</v>
      </c>
      <c r="H371">
        <v>1</v>
      </c>
      <c r="I371">
        <v>24692</v>
      </c>
      <c r="J371" s="1" t="s">
        <v>39</v>
      </c>
      <c r="K371">
        <v>2023</v>
      </c>
      <c r="L371" t="s">
        <v>26</v>
      </c>
      <c r="M371" t="s">
        <v>19</v>
      </c>
      <c r="N371">
        <v>12</v>
      </c>
    </row>
    <row r="372" spans="1:14" x14ac:dyDescent="0.25">
      <c r="A372">
        <v>371</v>
      </c>
      <c r="B372" s="1" t="s">
        <v>20</v>
      </c>
      <c r="C372">
        <v>66</v>
      </c>
      <c r="D372" s="1" t="s">
        <v>45</v>
      </c>
      <c r="E372" s="1" t="s">
        <v>35</v>
      </c>
      <c r="F372" s="1" t="s">
        <v>16</v>
      </c>
      <c r="G372" s="2">
        <v>45024</v>
      </c>
      <c r="H372">
        <v>12</v>
      </c>
      <c r="I372">
        <v>25862</v>
      </c>
      <c r="J372" s="1" t="s">
        <v>17</v>
      </c>
      <c r="K372">
        <v>2023</v>
      </c>
      <c r="L372" t="s">
        <v>33</v>
      </c>
      <c r="M372" t="s">
        <v>19</v>
      </c>
      <c r="N372">
        <v>4</v>
      </c>
    </row>
    <row r="373" spans="1:14" x14ac:dyDescent="0.25">
      <c r="A373">
        <v>372</v>
      </c>
      <c r="B373" s="1" t="s">
        <v>20</v>
      </c>
      <c r="C373">
        <v>10</v>
      </c>
      <c r="D373" s="1" t="s">
        <v>14</v>
      </c>
      <c r="E373" s="1" t="s">
        <v>22</v>
      </c>
      <c r="F373" s="1" t="s">
        <v>32</v>
      </c>
      <c r="G373" s="2">
        <v>45123</v>
      </c>
      <c r="H373">
        <v>8</v>
      </c>
      <c r="I373">
        <v>26860</v>
      </c>
      <c r="J373" s="1" t="s">
        <v>24</v>
      </c>
      <c r="K373">
        <v>2023</v>
      </c>
      <c r="L373" t="s">
        <v>36</v>
      </c>
      <c r="M373" t="s">
        <v>25</v>
      </c>
      <c r="N373">
        <v>7</v>
      </c>
    </row>
    <row r="374" spans="1:14" x14ac:dyDescent="0.25">
      <c r="A374">
        <v>373</v>
      </c>
      <c r="B374" s="1" t="s">
        <v>20</v>
      </c>
      <c r="C374">
        <v>5</v>
      </c>
      <c r="D374" s="1" t="s">
        <v>34</v>
      </c>
      <c r="E374" s="1" t="s">
        <v>31</v>
      </c>
      <c r="F374" s="1" t="s">
        <v>16</v>
      </c>
      <c r="G374" s="2">
        <v>45262</v>
      </c>
      <c r="H374">
        <v>1</v>
      </c>
      <c r="I374">
        <v>15971</v>
      </c>
      <c r="J374" s="1" t="s">
        <v>24</v>
      </c>
      <c r="K374">
        <v>2023</v>
      </c>
      <c r="L374" t="s">
        <v>26</v>
      </c>
      <c r="M374" t="s">
        <v>25</v>
      </c>
      <c r="N374">
        <v>12</v>
      </c>
    </row>
    <row r="375" spans="1:14" x14ac:dyDescent="0.25">
      <c r="A375">
        <v>374</v>
      </c>
      <c r="B375" s="1" t="s">
        <v>20</v>
      </c>
      <c r="C375">
        <v>74</v>
      </c>
      <c r="D375" s="1" t="s">
        <v>45</v>
      </c>
      <c r="E375" s="1" t="s">
        <v>15</v>
      </c>
      <c r="F375" s="1" t="s">
        <v>32</v>
      </c>
      <c r="G375" s="2">
        <v>45263</v>
      </c>
      <c r="H375">
        <v>5</v>
      </c>
      <c r="I375">
        <v>16616</v>
      </c>
      <c r="J375" s="1" t="s">
        <v>39</v>
      </c>
      <c r="K375">
        <v>2023</v>
      </c>
      <c r="L375" t="s">
        <v>26</v>
      </c>
      <c r="M375" t="s">
        <v>19</v>
      </c>
      <c r="N375">
        <v>12</v>
      </c>
    </row>
    <row r="376" spans="1:14" x14ac:dyDescent="0.25">
      <c r="A376">
        <v>375</v>
      </c>
      <c r="B376" s="1" t="s">
        <v>13</v>
      </c>
      <c r="C376">
        <v>38</v>
      </c>
      <c r="D376" s="1" t="s">
        <v>45</v>
      </c>
      <c r="E376" s="1" t="s">
        <v>31</v>
      </c>
      <c r="F376" s="1" t="s">
        <v>32</v>
      </c>
      <c r="G376" s="2">
        <v>45258</v>
      </c>
      <c r="H376">
        <v>6</v>
      </c>
      <c r="I376">
        <v>6933</v>
      </c>
      <c r="J376" s="1" t="s">
        <v>17</v>
      </c>
      <c r="K376">
        <v>2023</v>
      </c>
      <c r="L376" t="s">
        <v>18</v>
      </c>
      <c r="M376" t="s">
        <v>29</v>
      </c>
      <c r="N376">
        <v>11</v>
      </c>
    </row>
    <row r="377" spans="1:14" x14ac:dyDescent="0.25">
      <c r="A377">
        <v>376</v>
      </c>
      <c r="B377" s="1" t="s">
        <v>20</v>
      </c>
      <c r="C377">
        <v>13</v>
      </c>
      <c r="D377" s="1" t="s">
        <v>14</v>
      </c>
      <c r="E377" s="1" t="s">
        <v>31</v>
      </c>
      <c r="F377" s="1" t="s">
        <v>16</v>
      </c>
      <c r="G377" s="2">
        <v>45082</v>
      </c>
      <c r="H377">
        <v>6</v>
      </c>
      <c r="I377">
        <v>6926</v>
      </c>
      <c r="J377" s="1" t="s">
        <v>39</v>
      </c>
      <c r="K377">
        <v>2023</v>
      </c>
      <c r="L377" t="s">
        <v>40</v>
      </c>
      <c r="M377" t="s">
        <v>25</v>
      </c>
      <c r="N377">
        <v>6</v>
      </c>
    </row>
    <row r="378" spans="1:14" x14ac:dyDescent="0.25">
      <c r="A378">
        <v>377</v>
      </c>
      <c r="B378" s="1" t="s">
        <v>20</v>
      </c>
      <c r="C378">
        <v>31</v>
      </c>
      <c r="D378" s="1" t="s">
        <v>30</v>
      </c>
      <c r="E378" s="1" t="s">
        <v>15</v>
      </c>
      <c r="F378" s="1" t="s">
        <v>23</v>
      </c>
      <c r="G378" s="2">
        <v>45210</v>
      </c>
      <c r="H378">
        <v>13</v>
      </c>
      <c r="I378">
        <v>27763</v>
      </c>
      <c r="J378" s="1" t="s">
        <v>24</v>
      </c>
      <c r="K378">
        <v>2023</v>
      </c>
      <c r="L378" t="s">
        <v>41</v>
      </c>
      <c r="M378" t="s">
        <v>29</v>
      </c>
      <c r="N378">
        <v>10</v>
      </c>
    </row>
    <row r="379" spans="1:14" x14ac:dyDescent="0.25">
      <c r="A379">
        <v>378</v>
      </c>
      <c r="B379" s="1" t="s">
        <v>13</v>
      </c>
      <c r="C379">
        <v>47</v>
      </c>
      <c r="D379" s="1" t="s">
        <v>30</v>
      </c>
      <c r="E379" s="1" t="s">
        <v>22</v>
      </c>
      <c r="F379" s="1" t="s">
        <v>23</v>
      </c>
      <c r="G379" s="2">
        <v>45172</v>
      </c>
      <c r="H379">
        <v>5</v>
      </c>
      <c r="I379">
        <v>5969</v>
      </c>
      <c r="J379" s="1" t="s">
        <v>24</v>
      </c>
      <c r="K379">
        <v>2023</v>
      </c>
      <c r="L379" t="s">
        <v>44</v>
      </c>
      <c r="M379" t="s">
        <v>38</v>
      </c>
      <c r="N379">
        <v>9</v>
      </c>
    </row>
    <row r="380" spans="1:14" x14ac:dyDescent="0.25">
      <c r="A380">
        <v>379</v>
      </c>
      <c r="B380" s="1" t="s">
        <v>20</v>
      </c>
      <c r="C380">
        <v>88</v>
      </c>
      <c r="D380" s="1" t="s">
        <v>30</v>
      </c>
      <c r="E380" s="1" t="s">
        <v>31</v>
      </c>
      <c r="F380" s="1" t="s">
        <v>28</v>
      </c>
      <c r="G380" s="2">
        <v>45166</v>
      </c>
      <c r="H380">
        <v>3</v>
      </c>
      <c r="I380">
        <v>37733</v>
      </c>
      <c r="J380" s="1" t="s">
        <v>24</v>
      </c>
      <c r="K380">
        <v>2023</v>
      </c>
      <c r="L380" t="s">
        <v>47</v>
      </c>
      <c r="M380" t="s">
        <v>19</v>
      </c>
      <c r="N380">
        <v>8</v>
      </c>
    </row>
    <row r="381" spans="1:14" x14ac:dyDescent="0.25">
      <c r="A381">
        <v>380</v>
      </c>
      <c r="B381" s="1" t="s">
        <v>13</v>
      </c>
      <c r="C381">
        <v>52</v>
      </c>
      <c r="D381" s="1" t="s">
        <v>30</v>
      </c>
      <c r="E381" s="1" t="s">
        <v>35</v>
      </c>
      <c r="F381" s="1" t="s">
        <v>32</v>
      </c>
      <c r="G381" s="2">
        <v>45107</v>
      </c>
      <c r="H381">
        <v>5</v>
      </c>
      <c r="I381">
        <v>6319</v>
      </c>
      <c r="J381" s="1" t="s">
        <v>39</v>
      </c>
      <c r="K381">
        <v>2023</v>
      </c>
      <c r="L381" t="s">
        <v>40</v>
      </c>
      <c r="M381" t="s">
        <v>38</v>
      </c>
      <c r="N381">
        <v>6</v>
      </c>
    </row>
    <row r="382" spans="1:14" x14ac:dyDescent="0.25">
      <c r="A382">
        <v>381</v>
      </c>
      <c r="B382" s="1" t="s">
        <v>20</v>
      </c>
      <c r="C382">
        <v>56</v>
      </c>
      <c r="D382" s="1" t="s">
        <v>37</v>
      </c>
      <c r="E382" s="1" t="s">
        <v>15</v>
      </c>
      <c r="F382" s="1" t="s">
        <v>28</v>
      </c>
      <c r="G382" s="2">
        <v>45093</v>
      </c>
      <c r="H382">
        <v>12</v>
      </c>
      <c r="I382">
        <v>43743</v>
      </c>
      <c r="J382" s="1" t="s">
        <v>24</v>
      </c>
      <c r="K382">
        <v>2023</v>
      </c>
      <c r="L382" t="s">
        <v>40</v>
      </c>
      <c r="M382" t="s">
        <v>38</v>
      </c>
      <c r="N382">
        <v>6</v>
      </c>
    </row>
    <row r="383" spans="1:14" x14ac:dyDescent="0.25">
      <c r="A383">
        <v>382</v>
      </c>
      <c r="B383" s="1" t="s">
        <v>20</v>
      </c>
      <c r="C383">
        <v>15</v>
      </c>
      <c r="D383" s="1" t="s">
        <v>30</v>
      </c>
      <c r="E383" s="1" t="s">
        <v>27</v>
      </c>
      <c r="F383" s="1" t="s">
        <v>28</v>
      </c>
      <c r="G383" s="2">
        <v>45269</v>
      </c>
      <c r="H383">
        <v>8</v>
      </c>
      <c r="I383">
        <v>41876</v>
      </c>
      <c r="J383" s="1" t="s">
        <v>39</v>
      </c>
      <c r="K383">
        <v>2023</v>
      </c>
      <c r="L383" t="s">
        <v>26</v>
      </c>
      <c r="M383" t="s">
        <v>25</v>
      </c>
      <c r="N383">
        <v>12</v>
      </c>
    </row>
    <row r="384" spans="1:14" x14ac:dyDescent="0.25">
      <c r="A384">
        <v>383</v>
      </c>
      <c r="B384" s="1" t="s">
        <v>20</v>
      </c>
      <c r="C384">
        <v>29</v>
      </c>
      <c r="D384" s="1" t="s">
        <v>37</v>
      </c>
      <c r="E384" s="1" t="s">
        <v>22</v>
      </c>
      <c r="F384" s="1" t="s">
        <v>16</v>
      </c>
      <c r="G384" s="2">
        <v>45021</v>
      </c>
      <c r="H384">
        <v>14</v>
      </c>
      <c r="I384">
        <v>43909</v>
      </c>
      <c r="J384" s="1" t="s">
        <v>24</v>
      </c>
      <c r="K384">
        <v>2023</v>
      </c>
      <c r="L384" t="s">
        <v>33</v>
      </c>
      <c r="M384" t="s">
        <v>29</v>
      </c>
      <c r="N384">
        <v>4</v>
      </c>
    </row>
    <row r="385" spans="1:14" x14ac:dyDescent="0.25">
      <c r="A385">
        <v>384</v>
      </c>
      <c r="B385" s="1" t="s">
        <v>13</v>
      </c>
      <c r="C385">
        <v>8</v>
      </c>
      <c r="D385" s="1" t="s">
        <v>37</v>
      </c>
      <c r="E385" s="1" t="s">
        <v>15</v>
      </c>
      <c r="F385" s="1" t="s">
        <v>16</v>
      </c>
      <c r="G385" s="2">
        <v>45283</v>
      </c>
      <c r="H385">
        <v>2</v>
      </c>
      <c r="I385">
        <v>22323</v>
      </c>
      <c r="J385" s="1" t="s">
        <v>24</v>
      </c>
      <c r="K385">
        <v>2023</v>
      </c>
      <c r="L385" t="s">
        <v>26</v>
      </c>
      <c r="M385" t="s">
        <v>25</v>
      </c>
      <c r="N385">
        <v>12</v>
      </c>
    </row>
    <row r="386" spans="1:14" x14ac:dyDescent="0.25">
      <c r="A386">
        <v>385</v>
      </c>
      <c r="B386" s="1" t="s">
        <v>13</v>
      </c>
      <c r="C386">
        <v>5</v>
      </c>
      <c r="D386" s="1" t="s">
        <v>30</v>
      </c>
      <c r="E386" s="1" t="s">
        <v>27</v>
      </c>
      <c r="F386" s="1" t="s">
        <v>16</v>
      </c>
      <c r="G386" s="2">
        <v>45184</v>
      </c>
      <c r="H386">
        <v>6</v>
      </c>
      <c r="I386">
        <v>18428</v>
      </c>
      <c r="J386" s="1" t="s">
        <v>24</v>
      </c>
      <c r="K386">
        <v>2023</v>
      </c>
      <c r="L386" t="s">
        <v>44</v>
      </c>
      <c r="M386" t="s">
        <v>25</v>
      </c>
      <c r="N386">
        <v>9</v>
      </c>
    </row>
    <row r="387" spans="1:14" x14ac:dyDescent="0.25">
      <c r="A387">
        <v>386</v>
      </c>
      <c r="B387" s="1" t="s">
        <v>20</v>
      </c>
      <c r="C387">
        <v>29</v>
      </c>
      <c r="D387" s="1" t="s">
        <v>21</v>
      </c>
      <c r="E387" s="1" t="s">
        <v>27</v>
      </c>
      <c r="F387" s="1" t="s">
        <v>32</v>
      </c>
      <c r="G387" s="2">
        <v>45288</v>
      </c>
      <c r="H387">
        <v>9</v>
      </c>
      <c r="I387">
        <v>36578</v>
      </c>
      <c r="J387" s="1" t="s">
        <v>39</v>
      </c>
      <c r="K387">
        <v>2023</v>
      </c>
      <c r="L387" t="s">
        <v>26</v>
      </c>
      <c r="M387" t="s">
        <v>29</v>
      </c>
      <c r="N387">
        <v>12</v>
      </c>
    </row>
    <row r="388" spans="1:14" x14ac:dyDescent="0.25">
      <c r="A388">
        <v>387</v>
      </c>
      <c r="B388" s="1" t="s">
        <v>13</v>
      </c>
      <c r="C388">
        <v>47</v>
      </c>
      <c r="D388" s="1" t="s">
        <v>34</v>
      </c>
      <c r="E388" s="1" t="s">
        <v>31</v>
      </c>
      <c r="F388" s="1" t="s">
        <v>16</v>
      </c>
      <c r="G388" s="2">
        <v>45115</v>
      </c>
      <c r="H388">
        <v>8</v>
      </c>
      <c r="I388">
        <v>22950</v>
      </c>
      <c r="J388" s="1" t="s">
        <v>24</v>
      </c>
      <c r="K388">
        <v>2023</v>
      </c>
      <c r="L388" t="s">
        <v>36</v>
      </c>
      <c r="M388" t="s">
        <v>38</v>
      </c>
      <c r="N388">
        <v>7</v>
      </c>
    </row>
    <row r="389" spans="1:14" x14ac:dyDescent="0.25">
      <c r="A389">
        <v>388</v>
      </c>
      <c r="B389" s="1" t="s">
        <v>13</v>
      </c>
      <c r="C389">
        <v>68</v>
      </c>
      <c r="D389" s="1" t="s">
        <v>45</v>
      </c>
      <c r="E389" s="1" t="s">
        <v>31</v>
      </c>
      <c r="F389" s="1" t="s">
        <v>16</v>
      </c>
      <c r="G389" s="2">
        <v>45089</v>
      </c>
      <c r="H389">
        <v>14</v>
      </c>
      <c r="I389">
        <v>45041</v>
      </c>
      <c r="J389" s="1" t="s">
        <v>24</v>
      </c>
      <c r="K389">
        <v>2023</v>
      </c>
      <c r="L389" t="s">
        <v>40</v>
      </c>
      <c r="M389" t="s">
        <v>19</v>
      </c>
      <c r="N389">
        <v>6</v>
      </c>
    </row>
    <row r="390" spans="1:14" x14ac:dyDescent="0.25">
      <c r="A390">
        <v>389</v>
      </c>
      <c r="B390" s="1" t="s">
        <v>13</v>
      </c>
      <c r="C390">
        <v>76</v>
      </c>
      <c r="D390" s="1" t="s">
        <v>37</v>
      </c>
      <c r="E390" s="1" t="s">
        <v>31</v>
      </c>
      <c r="F390" s="1" t="s">
        <v>32</v>
      </c>
      <c r="G390" s="2">
        <v>44974</v>
      </c>
      <c r="H390">
        <v>11</v>
      </c>
      <c r="I390">
        <v>43789</v>
      </c>
      <c r="J390" s="1" t="s">
        <v>24</v>
      </c>
      <c r="K390">
        <v>2023</v>
      </c>
      <c r="L390" t="s">
        <v>46</v>
      </c>
      <c r="M390" t="s">
        <v>19</v>
      </c>
      <c r="N390">
        <v>2</v>
      </c>
    </row>
    <row r="391" spans="1:14" x14ac:dyDescent="0.25">
      <c r="A391">
        <v>390</v>
      </c>
      <c r="B391" s="1" t="s">
        <v>13</v>
      </c>
      <c r="C391">
        <v>45</v>
      </c>
      <c r="D391" s="1" t="s">
        <v>14</v>
      </c>
      <c r="E391" s="1" t="s">
        <v>15</v>
      </c>
      <c r="F391" s="1" t="s">
        <v>32</v>
      </c>
      <c r="G391" s="2">
        <v>45185</v>
      </c>
      <c r="H391">
        <v>8</v>
      </c>
      <c r="I391">
        <v>20293</v>
      </c>
      <c r="J391" s="1" t="s">
        <v>24</v>
      </c>
      <c r="K391">
        <v>2023</v>
      </c>
      <c r="L391" t="s">
        <v>44</v>
      </c>
      <c r="M391" t="s">
        <v>38</v>
      </c>
      <c r="N391">
        <v>9</v>
      </c>
    </row>
    <row r="392" spans="1:14" x14ac:dyDescent="0.25">
      <c r="A392">
        <v>391</v>
      </c>
      <c r="B392" s="1" t="s">
        <v>13</v>
      </c>
      <c r="C392">
        <v>2</v>
      </c>
      <c r="D392" s="1" t="s">
        <v>14</v>
      </c>
      <c r="E392" s="1" t="s">
        <v>15</v>
      </c>
      <c r="F392" s="1" t="s">
        <v>23</v>
      </c>
      <c r="G392" s="2">
        <v>45066</v>
      </c>
      <c r="H392">
        <v>8</v>
      </c>
      <c r="I392">
        <v>8364</v>
      </c>
      <c r="J392" s="1" t="s">
        <v>24</v>
      </c>
      <c r="K392">
        <v>2023</v>
      </c>
      <c r="L392" t="s">
        <v>42</v>
      </c>
      <c r="M392" t="s">
        <v>25</v>
      </c>
      <c r="N392">
        <v>5</v>
      </c>
    </row>
    <row r="393" spans="1:14" x14ac:dyDescent="0.25">
      <c r="A393">
        <v>392</v>
      </c>
      <c r="B393" s="1" t="s">
        <v>13</v>
      </c>
      <c r="C393">
        <v>27</v>
      </c>
      <c r="D393" s="1" t="s">
        <v>34</v>
      </c>
      <c r="E393" s="1" t="s">
        <v>22</v>
      </c>
      <c r="F393" s="1" t="s">
        <v>16</v>
      </c>
      <c r="G393" s="2">
        <v>44952</v>
      </c>
      <c r="H393">
        <v>13</v>
      </c>
      <c r="I393">
        <v>37349</v>
      </c>
      <c r="J393" s="1" t="s">
        <v>39</v>
      </c>
      <c r="K393">
        <v>2023</v>
      </c>
      <c r="L393" t="s">
        <v>48</v>
      </c>
      <c r="M393" t="s">
        <v>29</v>
      </c>
      <c r="N393">
        <v>1</v>
      </c>
    </row>
    <row r="394" spans="1:14" x14ac:dyDescent="0.25">
      <c r="A394">
        <v>393</v>
      </c>
      <c r="B394" s="1" t="s">
        <v>20</v>
      </c>
      <c r="C394">
        <v>36</v>
      </c>
      <c r="D394" s="1" t="s">
        <v>14</v>
      </c>
      <c r="E394" s="1" t="s">
        <v>31</v>
      </c>
      <c r="F394" s="1" t="s">
        <v>16</v>
      </c>
      <c r="G394" s="2">
        <v>44993</v>
      </c>
      <c r="H394">
        <v>7</v>
      </c>
      <c r="I394">
        <v>2691</v>
      </c>
      <c r="J394" s="1" t="s">
        <v>24</v>
      </c>
      <c r="K394">
        <v>2023</v>
      </c>
      <c r="L394" t="s">
        <v>43</v>
      </c>
      <c r="M394" t="s">
        <v>29</v>
      </c>
      <c r="N394">
        <v>3</v>
      </c>
    </row>
    <row r="395" spans="1:14" x14ac:dyDescent="0.25">
      <c r="A395">
        <v>394</v>
      </c>
      <c r="B395" s="1" t="s">
        <v>20</v>
      </c>
      <c r="C395">
        <v>36</v>
      </c>
      <c r="D395" s="1" t="s">
        <v>21</v>
      </c>
      <c r="E395" s="1" t="s">
        <v>27</v>
      </c>
      <c r="F395" s="1" t="s">
        <v>16</v>
      </c>
      <c r="G395" s="2">
        <v>45270</v>
      </c>
      <c r="H395">
        <v>8</v>
      </c>
      <c r="I395">
        <v>32062</v>
      </c>
      <c r="J395" s="1" t="s">
        <v>24</v>
      </c>
      <c r="K395">
        <v>2023</v>
      </c>
      <c r="L395" t="s">
        <v>26</v>
      </c>
      <c r="M395" t="s">
        <v>29</v>
      </c>
      <c r="N395">
        <v>12</v>
      </c>
    </row>
    <row r="396" spans="1:14" x14ac:dyDescent="0.25">
      <c r="A396">
        <v>395</v>
      </c>
      <c r="B396" s="1" t="s">
        <v>13</v>
      </c>
      <c r="C396">
        <v>26</v>
      </c>
      <c r="D396" s="1" t="s">
        <v>14</v>
      </c>
      <c r="E396" s="1" t="s">
        <v>35</v>
      </c>
      <c r="F396" s="1" t="s">
        <v>23</v>
      </c>
      <c r="G396" s="2">
        <v>45029</v>
      </c>
      <c r="H396">
        <v>13</v>
      </c>
      <c r="I396">
        <v>2931</v>
      </c>
      <c r="J396" s="1" t="s">
        <v>39</v>
      </c>
      <c r="K396">
        <v>2023</v>
      </c>
      <c r="L396" t="s">
        <v>33</v>
      </c>
      <c r="M396" t="s">
        <v>29</v>
      </c>
      <c r="N396">
        <v>4</v>
      </c>
    </row>
    <row r="397" spans="1:14" x14ac:dyDescent="0.25">
      <c r="A397">
        <v>396</v>
      </c>
      <c r="B397" s="1" t="s">
        <v>20</v>
      </c>
      <c r="C397">
        <v>43</v>
      </c>
      <c r="D397" s="1" t="s">
        <v>45</v>
      </c>
      <c r="E397" s="1" t="s">
        <v>22</v>
      </c>
      <c r="F397" s="1" t="s">
        <v>16</v>
      </c>
      <c r="G397" s="2">
        <v>45210</v>
      </c>
      <c r="H397">
        <v>6</v>
      </c>
      <c r="I397">
        <v>47896</v>
      </c>
      <c r="J397" s="1" t="s">
        <v>17</v>
      </c>
      <c r="K397">
        <v>2023</v>
      </c>
      <c r="L397" t="s">
        <v>41</v>
      </c>
      <c r="M397" t="s">
        <v>38</v>
      </c>
      <c r="N397">
        <v>10</v>
      </c>
    </row>
    <row r="398" spans="1:14" x14ac:dyDescent="0.25">
      <c r="A398">
        <v>397</v>
      </c>
      <c r="B398" s="1" t="s">
        <v>20</v>
      </c>
      <c r="C398">
        <v>27</v>
      </c>
      <c r="D398" s="1" t="s">
        <v>45</v>
      </c>
      <c r="E398" s="1" t="s">
        <v>15</v>
      </c>
      <c r="F398" s="1" t="s">
        <v>23</v>
      </c>
      <c r="G398" s="2">
        <v>45201</v>
      </c>
      <c r="H398">
        <v>2</v>
      </c>
      <c r="I398">
        <v>33730</v>
      </c>
      <c r="J398" s="1" t="s">
        <v>24</v>
      </c>
      <c r="K398">
        <v>2023</v>
      </c>
      <c r="L398" t="s">
        <v>41</v>
      </c>
      <c r="M398" t="s">
        <v>29</v>
      </c>
      <c r="N398">
        <v>10</v>
      </c>
    </row>
    <row r="399" spans="1:14" x14ac:dyDescent="0.25">
      <c r="A399">
        <v>398</v>
      </c>
      <c r="B399" s="1" t="s">
        <v>20</v>
      </c>
      <c r="C399">
        <v>69</v>
      </c>
      <c r="D399" s="1" t="s">
        <v>37</v>
      </c>
      <c r="E399" s="1" t="s">
        <v>22</v>
      </c>
      <c r="F399" s="1" t="s">
        <v>28</v>
      </c>
      <c r="G399" s="2">
        <v>45064</v>
      </c>
      <c r="H399">
        <v>2</v>
      </c>
      <c r="I399">
        <v>16226</v>
      </c>
      <c r="J399" s="1" t="s">
        <v>24</v>
      </c>
      <c r="K399">
        <v>2023</v>
      </c>
      <c r="L399" t="s">
        <v>42</v>
      </c>
      <c r="M399" t="s">
        <v>19</v>
      </c>
      <c r="N399">
        <v>5</v>
      </c>
    </row>
    <row r="400" spans="1:14" x14ac:dyDescent="0.25">
      <c r="A400">
        <v>399</v>
      </c>
      <c r="B400" s="1" t="s">
        <v>20</v>
      </c>
      <c r="C400">
        <v>20</v>
      </c>
      <c r="D400" s="1" t="s">
        <v>30</v>
      </c>
      <c r="E400" s="1" t="s">
        <v>22</v>
      </c>
      <c r="F400" s="1" t="s">
        <v>23</v>
      </c>
      <c r="G400" s="2">
        <v>44990</v>
      </c>
      <c r="H400">
        <v>8</v>
      </c>
      <c r="I400">
        <v>15861</v>
      </c>
      <c r="J400" s="1" t="s">
        <v>39</v>
      </c>
      <c r="K400">
        <v>2023</v>
      </c>
      <c r="L400" t="s">
        <v>43</v>
      </c>
      <c r="M400" t="s">
        <v>29</v>
      </c>
      <c r="N400">
        <v>3</v>
      </c>
    </row>
    <row r="401" spans="1:14" x14ac:dyDescent="0.25">
      <c r="A401">
        <v>400</v>
      </c>
      <c r="B401" s="1" t="s">
        <v>13</v>
      </c>
      <c r="C401">
        <v>11</v>
      </c>
      <c r="D401" s="1" t="s">
        <v>21</v>
      </c>
      <c r="E401" s="1" t="s">
        <v>22</v>
      </c>
      <c r="F401" s="1" t="s">
        <v>28</v>
      </c>
      <c r="G401" s="2">
        <v>44987</v>
      </c>
      <c r="H401">
        <v>11</v>
      </c>
      <c r="I401">
        <v>33301</v>
      </c>
      <c r="J401" s="1" t="s">
        <v>17</v>
      </c>
      <c r="K401">
        <v>2023</v>
      </c>
      <c r="L401" t="s">
        <v>43</v>
      </c>
      <c r="M401" t="s">
        <v>25</v>
      </c>
      <c r="N401">
        <v>3</v>
      </c>
    </row>
    <row r="402" spans="1:14" x14ac:dyDescent="0.25">
      <c r="A402">
        <v>401</v>
      </c>
      <c r="B402" s="1" t="s">
        <v>20</v>
      </c>
      <c r="C402">
        <v>74</v>
      </c>
      <c r="D402" s="1" t="s">
        <v>37</v>
      </c>
      <c r="E402" s="1" t="s">
        <v>22</v>
      </c>
      <c r="F402" s="1" t="s">
        <v>16</v>
      </c>
      <c r="G402" s="2">
        <v>45246</v>
      </c>
      <c r="H402">
        <v>1</v>
      </c>
      <c r="I402">
        <v>24766</v>
      </c>
      <c r="J402" s="1" t="s">
        <v>39</v>
      </c>
      <c r="K402">
        <v>2023</v>
      </c>
      <c r="L402" t="s">
        <v>18</v>
      </c>
      <c r="M402" t="s">
        <v>19</v>
      </c>
      <c r="N402">
        <v>11</v>
      </c>
    </row>
    <row r="403" spans="1:14" x14ac:dyDescent="0.25">
      <c r="A403">
        <v>402</v>
      </c>
      <c r="B403" s="1" t="s">
        <v>20</v>
      </c>
      <c r="C403">
        <v>38</v>
      </c>
      <c r="D403" s="1" t="s">
        <v>21</v>
      </c>
      <c r="E403" s="1" t="s">
        <v>35</v>
      </c>
      <c r="F403" s="1" t="s">
        <v>28</v>
      </c>
      <c r="G403" s="2">
        <v>45177</v>
      </c>
      <c r="H403">
        <v>6</v>
      </c>
      <c r="I403">
        <v>38174</v>
      </c>
      <c r="J403" s="1" t="s">
        <v>24</v>
      </c>
      <c r="K403">
        <v>2023</v>
      </c>
      <c r="L403" t="s">
        <v>44</v>
      </c>
      <c r="M403" t="s">
        <v>29</v>
      </c>
      <c r="N403">
        <v>9</v>
      </c>
    </row>
    <row r="404" spans="1:14" x14ac:dyDescent="0.25">
      <c r="A404">
        <v>403</v>
      </c>
      <c r="B404" s="1" t="s">
        <v>13</v>
      </c>
      <c r="C404">
        <v>6</v>
      </c>
      <c r="D404" s="1" t="s">
        <v>30</v>
      </c>
      <c r="E404" s="1" t="s">
        <v>31</v>
      </c>
      <c r="F404" s="1" t="s">
        <v>23</v>
      </c>
      <c r="G404" s="2">
        <v>45092</v>
      </c>
      <c r="H404">
        <v>13</v>
      </c>
      <c r="I404">
        <v>43107</v>
      </c>
      <c r="J404" s="1" t="s">
        <v>24</v>
      </c>
      <c r="K404">
        <v>2023</v>
      </c>
      <c r="L404" t="s">
        <v>40</v>
      </c>
      <c r="M404" t="s">
        <v>25</v>
      </c>
      <c r="N404">
        <v>6</v>
      </c>
    </row>
    <row r="405" spans="1:14" x14ac:dyDescent="0.25">
      <c r="A405">
        <v>404</v>
      </c>
      <c r="B405" s="1" t="s">
        <v>13</v>
      </c>
      <c r="C405">
        <v>72</v>
      </c>
      <c r="D405" s="1" t="s">
        <v>14</v>
      </c>
      <c r="E405" s="1" t="s">
        <v>27</v>
      </c>
      <c r="F405" s="1" t="s">
        <v>32</v>
      </c>
      <c r="G405" s="2">
        <v>44962</v>
      </c>
      <c r="H405">
        <v>6</v>
      </c>
      <c r="I405">
        <v>19695</v>
      </c>
      <c r="J405" s="1" t="s">
        <v>39</v>
      </c>
      <c r="K405">
        <v>2023</v>
      </c>
      <c r="L405" t="s">
        <v>46</v>
      </c>
      <c r="M405" t="s">
        <v>19</v>
      </c>
      <c r="N405">
        <v>2</v>
      </c>
    </row>
    <row r="406" spans="1:14" x14ac:dyDescent="0.25">
      <c r="A406">
        <v>405</v>
      </c>
      <c r="B406" s="1" t="s">
        <v>20</v>
      </c>
      <c r="C406">
        <v>23</v>
      </c>
      <c r="D406" s="1" t="s">
        <v>14</v>
      </c>
      <c r="E406" s="1" t="s">
        <v>22</v>
      </c>
      <c r="F406" s="1" t="s">
        <v>28</v>
      </c>
      <c r="G406" s="2">
        <v>45035</v>
      </c>
      <c r="H406">
        <v>11</v>
      </c>
      <c r="I406">
        <v>43347</v>
      </c>
      <c r="J406" s="1" t="s">
        <v>24</v>
      </c>
      <c r="K406">
        <v>2023</v>
      </c>
      <c r="L406" t="s">
        <v>33</v>
      </c>
      <c r="M406" t="s">
        <v>29</v>
      </c>
      <c r="N406">
        <v>4</v>
      </c>
    </row>
    <row r="407" spans="1:14" x14ac:dyDescent="0.25">
      <c r="A407">
        <v>406</v>
      </c>
      <c r="B407" s="1" t="s">
        <v>20</v>
      </c>
      <c r="C407">
        <v>47</v>
      </c>
      <c r="D407" s="1" t="s">
        <v>30</v>
      </c>
      <c r="E407" s="1" t="s">
        <v>22</v>
      </c>
      <c r="F407" s="1" t="s">
        <v>28</v>
      </c>
      <c r="G407" s="2">
        <v>44976</v>
      </c>
      <c r="H407">
        <v>4</v>
      </c>
      <c r="I407">
        <v>5121</v>
      </c>
      <c r="J407" s="1" t="s">
        <v>24</v>
      </c>
      <c r="K407">
        <v>2023</v>
      </c>
      <c r="L407" t="s">
        <v>46</v>
      </c>
      <c r="M407" t="s">
        <v>38</v>
      </c>
      <c r="N407">
        <v>2</v>
      </c>
    </row>
    <row r="408" spans="1:14" x14ac:dyDescent="0.25">
      <c r="A408">
        <v>407</v>
      </c>
      <c r="B408" s="1" t="s">
        <v>20</v>
      </c>
      <c r="C408">
        <v>46</v>
      </c>
      <c r="D408" s="1" t="s">
        <v>37</v>
      </c>
      <c r="E408" s="1" t="s">
        <v>22</v>
      </c>
      <c r="F408" s="1" t="s">
        <v>16</v>
      </c>
      <c r="G408" s="2">
        <v>44992</v>
      </c>
      <c r="H408">
        <v>12</v>
      </c>
      <c r="I408">
        <v>20257</v>
      </c>
      <c r="J408" s="1" t="s">
        <v>39</v>
      </c>
      <c r="K408">
        <v>2023</v>
      </c>
      <c r="L408" t="s">
        <v>43</v>
      </c>
      <c r="M408" t="s">
        <v>38</v>
      </c>
      <c r="N408">
        <v>3</v>
      </c>
    </row>
    <row r="409" spans="1:14" x14ac:dyDescent="0.25">
      <c r="A409">
        <v>408</v>
      </c>
      <c r="B409" s="1" t="s">
        <v>20</v>
      </c>
      <c r="C409">
        <v>12</v>
      </c>
      <c r="D409" s="1" t="s">
        <v>30</v>
      </c>
      <c r="E409" s="1" t="s">
        <v>31</v>
      </c>
      <c r="F409" s="1" t="s">
        <v>23</v>
      </c>
      <c r="G409" s="2">
        <v>45029</v>
      </c>
      <c r="H409">
        <v>11</v>
      </c>
      <c r="I409">
        <v>30164</v>
      </c>
      <c r="J409" s="1" t="s">
        <v>24</v>
      </c>
      <c r="K409">
        <v>2023</v>
      </c>
      <c r="L409" t="s">
        <v>33</v>
      </c>
      <c r="M409" t="s">
        <v>25</v>
      </c>
      <c r="N409">
        <v>4</v>
      </c>
    </row>
    <row r="410" spans="1:14" x14ac:dyDescent="0.25">
      <c r="A410">
        <v>409</v>
      </c>
      <c r="B410" s="1" t="s">
        <v>20</v>
      </c>
      <c r="C410">
        <v>13</v>
      </c>
      <c r="D410" s="1" t="s">
        <v>34</v>
      </c>
      <c r="E410" s="1" t="s">
        <v>15</v>
      </c>
      <c r="F410" s="1" t="s">
        <v>28</v>
      </c>
      <c r="G410" s="2">
        <v>45185</v>
      </c>
      <c r="H410">
        <v>13</v>
      </c>
      <c r="I410">
        <v>27491</v>
      </c>
      <c r="J410" s="1" t="s">
        <v>24</v>
      </c>
      <c r="K410">
        <v>2023</v>
      </c>
      <c r="L410" t="s">
        <v>44</v>
      </c>
      <c r="M410" t="s">
        <v>25</v>
      </c>
      <c r="N410">
        <v>9</v>
      </c>
    </row>
    <row r="411" spans="1:14" x14ac:dyDescent="0.25">
      <c r="A411">
        <v>410</v>
      </c>
      <c r="B411" s="1" t="s">
        <v>20</v>
      </c>
      <c r="C411">
        <v>62</v>
      </c>
      <c r="D411" s="1" t="s">
        <v>45</v>
      </c>
      <c r="E411" s="1" t="s">
        <v>15</v>
      </c>
      <c r="F411" s="1" t="s">
        <v>28</v>
      </c>
      <c r="G411" s="2">
        <v>45229</v>
      </c>
      <c r="H411">
        <v>11</v>
      </c>
      <c r="I411">
        <v>25165</v>
      </c>
      <c r="J411" s="1" t="s">
        <v>24</v>
      </c>
      <c r="K411">
        <v>2023</v>
      </c>
      <c r="L411" t="s">
        <v>41</v>
      </c>
      <c r="M411" t="s">
        <v>19</v>
      </c>
      <c r="N411">
        <v>10</v>
      </c>
    </row>
    <row r="412" spans="1:14" x14ac:dyDescent="0.25">
      <c r="A412">
        <v>411</v>
      </c>
      <c r="B412" s="1" t="s">
        <v>13</v>
      </c>
      <c r="C412">
        <v>82</v>
      </c>
      <c r="D412" s="1" t="s">
        <v>37</v>
      </c>
      <c r="E412" s="1" t="s">
        <v>35</v>
      </c>
      <c r="F412" s="1" t="s">
        <v>28</v>
      </c>
      <c r="G412" s="2">
        <v>45187</v>
      </c>
      <c r="H412">
        <v>13</v>
      </c>
      <c r="I412">
        <v>5748</v>
      </c>
      <c r="J412" s="1" t="s">
        <v>24</v>
      </c>
      <c r="K412">
        <v>2023</v>
      </c>
      <c r="L412" t="s">
        <v>44</v>
      </c>
      <c r="M412" t="s">
        <v>19</v>
      </c>
      <c r="N412">
        <v>9</v>
      </c>
    </row>
    <row r="413" spans="1:14" x14ac:dyDescent="0.25">
      <c r="A413">
        <v>412</v>
      </c>
      <c r="B413" s="1" t="s">
        <v>20</v>
      </c>
      <c r="C413">
        <v>89</v>
      </c>
      <c r="D413" s="1" t="s">
        <v>21</v>
      </c>
      <c r="E413" s="1" t="s">
        <v>15</v>
      </c>
      <c r="F413" s="1" t="s">
        <v>28</v>
      </c>
      <c r="G413" s="2">
        <v>45098</v>
      </c>
      <c r="H413">
        <v>10</v>
      </c>
      <c r="I413">
        <v>35045</v>
      </c>
      <c r="J413" s="1" t="s">
        <v>24</v>
      </c>
      <c r="K413">
        <v>2023</v>
      </c>
      <c r="L413" t="s">
        <v>40</v>
      </c>
      <c r="M413" t="s">
        <v>19</v>
      </c>
      <c r="N413">
        <v>6</v>
      </c>
    </row>
    <row r="414" spans="1:14" x14ac:dyDescent="0.25">
      <c r="A414">
        <v>413</v>
      </c>
      <c r="B414" s="1" t="s">
        <v>20</v>
      </c>
      <c r="C414">
        <v>60</v>
      </c>
      <c r="D414" s="1" t="s">
        <v>34</v>
      </c>
      <c r="E414" s="1" t="s">
        <v>22</v>
      </c>
      <c r="F414" s="1" t="s">
        <v>32</v>
      </c>
      <c r="G414" s="2">
        <v>45154</v>
      </c>
      <c r="H414">
        <v>3</v>
      </c>
      <c r="I414">
        <v>28553</v>
      </c>
      <c r="J414" s="1" t="s">
        <v>39</v>
      </c>
      <c r="K414">
        <v>2023</v>
      </c>
      <c r="L414" t="s">
        <v>47</v>
      </c>
      <c r="M414" t="s">
        <v>19</v>
      </c>
      <c r="N414">
        <v>8</v>
      </c>
    </row>
    <row r="415" spans="1:14" x14ac:dyDescent="0.25">
      <c r="A415">
        <v>414</v>
      </c>
      <c r="B415" s="1" t="s">
        <v>13</v>
      </c>
      <c r="C415">
        <v>43</v>
      </c>
      <c r="D415" s="1" t="s">
        <v>37</v>
      </c>
      <c r="E415" s="1" t="s">
        <v>22</v>
      </c>
      <c r="F415" s="1" t="s">
        <v>23</v>
      </c>
      <c r="G415" s="2">
        <v>44990</v>
      </c>
      <c r="H415">
        <v>13</v>
      </c>
      <c r="I415">
        <v>46331</v>
      </c>
      <c r="J415" s="1" t="s">
        <v>24</v>
      </c>
      <c r="K415">
        <v>2023</v>
      </c>
      <c r="L415" t="s">
        <v>43</v>
      </c>
      <c r="M415" t="s">
        <v>38</v>
      </c>
      <c r="N415">
        <v>3</v>
      </c>
    </row>
    <row r="416" spans="1:14" x14ac:dyDescent="0.25">
      <c r="A416">
        <v>415</v>
      </c>
      <c r="B416" s="1" t="s">
        <v>13</v>
      </c>
      <c r="C416">
        <v>76</v>
      </c>
      <c r="D416" s="1" t="s">
        <v>30</v>
      </c>
      <c r="E416" s="1" t="s">
        <v>22</v>
      </c>
      <c r="F416" s="1" t="s">
        <v>16</v>
      </c>
      <c r="G416" s="2">
        <v>45171</v>
      </c>
      <c r="H416">
        <v>11</v>
      </c>
      <c r="I416">
        <v>32497</v>
      </c>
      <c r="J416" s="1" t="s">
        <v>24</v>
      </c>
      <c r="K416">
        <v>2023</v>
      </c>
      <c r="L416" t="s">
        <v>44</v>
      </c>
      <c r="M416" t="s">
        <v>19</v>
      </c>
      <c r="N416">
        <v>9</v>
      </c>
    </row>
    <row r="417" spans="1:14" x14ac:dyDescent="0.25">
      <c r="A417">
        <v>416</v>
      </c>
      <c r="B417" s="1" t="s">
        <v>13</v>
      </c>
      <c r="C417">
        <v>68</v>
      </c>
      <c r="D417" s="1" t="s">
        <v>30</v>
      </c>
      <c r="E417" s="1" t="s">
        <v>35</v>
      </c>
      <c r="F417" s="1" t="s">
        <v>16</v>
      </c>
      <c r="G417" s="2">
        <v>45175</v>
      </c>
      <c r="H417">
        <v>3</v>
      </c>
      <c r="I417">
        <v>33308</v>
      </c>
      <c r="J417" s="1" t="s">
        <v>17</v>
      </c>
      <c r="K417">
        <v>2023</v>
      </c>
      <c r="L417" t="s">
        <v>44</v>
      </c>
      <c r="M417" t="s">
        <v>19</v>
      </c>
      <c r="N417">
        <v>9</v>
      </c>
    </row>
    <row r="418" spans="1:14" x14ac:dyDescent="0.25">
      <c r="A418">
        <v>417</v>
      </c>
      <c r="B418" s="1" t="s">
        <v>13</v>
      </c>
      <c r="C418">
        <v>5</v>
      </c>
      <c r="D418" s="1" t="s">
        <v>30</v>
      </c>
      <c r="E418" s="1" t="s">
        <v>22</v>
      </c>
      <c r="F418" s="1" t="s">
        <v>32</v>
      </c>
      <c r="G418" s="2">
        <v>45066</v>
      </c>
      <c r="H418">
        <v>13</v>
      </c>
      <c r="I418">
        <v>41560</v>
      </c>
      <c r="J418" s="1" t="s">
        <v>24</v>
      </c>
      <c r="K418">
        <v>2023</v>
      </c>
      <c r="L418" t="s">
        <v>42</v>
      </c>
      <c r="M418" t="s">
        <v>25</v>
      </c>
      <c r="N418">
        <v>5</v>
      </c>
    </row>
    <row r="419" spans="1:14" x14ac:dyDescent="0.25">
      <c r="A419">
        <v>418</v>
      </c>
      <c r="B419" s="1" t="s">
        <v>20</v>
      </c>
      <c r="C419">
        <v>37</v>
      </c>
      <c r="D419" s="1" t="s">
        <v>30</v>
      </c>
      <c r="E419" s="1" t="s">
        <v>15</v>
      </c>
      <c r="F419" s="1" t="s">
        <v>23</v>
      </c>
      <c r="G419" s="2">
        <v>44984</v>
      </c>
      <c r="H419">
        <v>13</v>
      </c>
      <c r="I419">
        <v>48686</v>
      </c>
      <c r="J419" s="1" t="s">
        <v>24</v>
      </c>
      <c r="K419">
        <v>2023</v>
      </c>
      <c r="L419" t="s">
        <v>46</v>
      </c>
      <c r="M419" t="s">
        <v>29</v>
      </c>
      <c r="N419">
        <v>2</v>
      </c>
    </row>
    <row r="420" spans="1:14" x14ac:dyDescent="0.25">
      <c r="A420">
        <v>419</v>
      </c>
      <c r="B420" s="1" t="s">
        <v>20</v>
      </c>
      <c r="C420">
        <v>72</v>
      </c>
      <c r="D420" s="1" t="s">
        <v>21</v>
      </c>
      <c r="E420" s="1" t="s">
        <v>31</v>
      </c>
      <c r="F420" s="1" t="s">
        <v>28</v>
      </c>
      <c r="G420" s="2">
        <v>45286</v>
      </c>
      <c r="H420">
        <v>1</v>
      </c>
      <c r="I420">
        <v>12374</v>
      </c>
      <c r="J420" s="1" t="s">
        <v>17</v>
      </c>
      <c r="K420">
        <v>2023</v>
      </c>
      <c r="L420" t="s">
        <v>26</v>
      </c>
      <c r="M420" t="s">
        <v>19</v>
      </c>
      <c r="N420">
        <v>12</v>
      </c>
    </row>
    <row r="421" spans="1:14" x14ac:dyDescent="0.25">
      <c r="A421">
        <v>420</v>
      </c>
      <c r="B421" s="1" t="s">
        <v>20</v>
      </c>
      <c r="C421">
        <v>31</v>
      </c>
      <c r="D421" s="1" t="s">
        <v>34</v>
      </c>
      <c r="E421" s="1" t="s">
        <v>31</v>
      </c>
      <c r="F421" s="1" t="s">
        <v>32</v>
      </c>
      <c r="G421" s="2">
        <v>44943</v>
      </c>
      <c r="H421">
        <v>3</v>
      </c>
      <c r="I421">
        <v>6675</v>
      </c>
      <c r="J421" s="1" t="s">
        <v>39</v>
      </c>
      <c r="K421">
        <v>2023</v>
      </c>
      <c r="L421" t="s">
        <v>48</v>
      </c>
      <c r="M421" t="s">
        <v>29</v>
      </c>
      <c r="N421">
        <v>1</v>
      </c>
    </row>
    <row r="422" spans="1:14" x14ac:dyDescent="0.25">
      <c r="A422">
        <v>421</v>
      </c>
      <c r="B422" s="1" t="s">
        <v>20</v>
      </c>
      <c r="C422">
        <v>9</v>
      </c>
      <c r="D422" s="1" t="s">
        <v>14</v>
      </c>
      <c r="E422" s="1" t="s">
        <v>27</v>
      </c>
      <c r="F422" s="1" t="s">
        <v>23</v>
      </c>
      <c r="G422" s="2">
        <v>45074</v>
      </c>
      <c r="H422">
        <v>4</v>
      </c>
      <c r="I422">
        <v>3170</v>
      </c>
      <c r="J422" s="1" t="s">
        <v>24</v>
      </c>
      <c r="K422">
        <v>2023</v>
      </c>
      <c r="L422" t="s">
        <v>42</v>
      </c>
      <c r="M422" t="s">
        <v>25</v>
      </c>
      <c r="N422">
        <v>5</v>
      </c>
    </row>
    <row r="423" spans="1:14" x14ac:dyDescent="0.25">
      <c r="A423">
        <v>422</v>
      </c>
      <c r="B423" s="1" t="s">
        <v>20</v>
      </c>
      <c r="C423">
        <v>51</v>
      </c>
      <c r="D423" s="1" t="s">
        <v>45</v>
      </c>
      <c r="E423" s="1" t="s">
        <v>15</v>
      </c>
      <c r="F423" s="1" t="s">
        <v>28</v>
      </c>
      <c r="G423" s="2">
        <v>44961</v>
      </c>
      <c r="H423">
        <v>11</v>
      </c>
      <c r="I423">
        <v>43449</v>
      </c>
      <c r="J423" s="1" t="s">
        <v>39</v>
      </c>
      <c r="K423">
        <v>2023</v>
      </c>
      <c r="L423" t="s">
        <v>46</v>
      </c>
      <c r="M423" t="s">
        <v>38</v>
      </c>
      <c r="N423">
        <v>2</v>
      </c>
    </row>
    <row r="424" spans="1:14" x14ac:dyDescent="0.25">
      <c r="A424">
        <v>423</v>
      </c>
      <c r="B424" s="1" t="s">
        <v>20</v>
      </c>
      <c r="C424">
        <v>29</v>
      </c>
      <c r="D424" s="1" t="s">
        <v>21</v>
      </c>
      <c r="E424" s="1" t="s">
        <v>22</v>
      </c>
      <c r="F424" s="1" t="s">
        <v>32</v>
      </c>
      <c r="G424" s="2">
        <v>45086</v>
      </c>
      <c r="H424">
        <v>11</v>
      </c>
      <c r="I424">
        <v>45485</v>
      </c>
      <c r="J424" s="1" t="s">
        <v>24</v>
      </c>
      <c r="K424">
        <v>2023</v>
      </c>
      <c r="L424" t="s">
        <v>40</v>
      </c>
      <c r="M424" t="s">
        <v>29</v>
      </c>
      <c r="N424">
        <v>6</v>
      </c>
    </row>
    <row r="425" spans="1:14" x14ac:dyDescent="0.25">
      <c r="A425">
        <v>424</v>
      </c>
      <c r="B425" s="1" t="s">
        <v>13</v>
      </c>
      <c r="C425">
        <v>78</v>
      </c>
      <c r="D425" s="1" t="s">
        <v>21</v>
      </c>
      <c r="E425" s="1" t="s">
        <v>31</v>
      </c>
      <c r="F425" s="1" t="s">
        <v>23</v>
      </c>
      <c r="G425" s="2">
        <v>45130</v>
      </c>
      <c r="H425">
        <v>5</v>
      </c>
      <c r="I425">
        <v>14450</v>
      </c>
      <c r="J425" s="1" t="s">
        <v>39</v>
      </c>
      <c r="K425">
        <v>2023</v>
      </c>
      <c r="L425" t="s">
        <v>36</v>
      </c>
      <c r="M425" t="s">
        <v>19</v>
      </c>
      <c r="N425">
        <v>7</v>
      </c>
    </row>
    <row r="426" spans="1:14" x14ac:dyDescent="0.25">
      <c r="A426">
        <v>425</v>
      </c>
      <c r="B426" s="1" t="s">
        <v>20</v>
      </c>
      <c r="C426">
        <v>40</v>
      </c>
      <c r="D426" s="1" t="s">
        <v>14</v>
      </c>
      <c r="E426" s="1" t="s">
        <v>15</v>
      </c>
      <c r="F426" s="1" t="s">
        <v>16</v>
      </c>
      <c r="G426" s="2">
        <v>45033</v>
      </c>
      <c r="H426">
        <v>3</v>
      </c>
      <c r="I426">
        <v>12680</v>
      </c>
      <c r="J426" s="1" t="s">
        <v>24</v>
      </c>
      <c r="K426">
        <v>2023</v>
      </c>
      <c r="L426" t="s">
        <v>33</v>
      </c>
      <c r="M426" t="s">
        <v>38</v>
      </c>
      <c r="N426">
        <v>4</v>
      </c>
    </row>
    <row r="427" spans="1:14" x14ac:dyDescent="0.25">
      <c r="A427">
        <v>426</v>
      </c>
      <c r="B427" s="1" t="s">
        <v>13</v>
      </c>
      <c r="C427">
        <v>41</v>
      </c>
      <c r="D427" s="1" t="s">
        <v>14</v>
      </c>
      <c r="E427" s="1" t="s">
        <v>31</v>
      </c>
      <c r="F427" s="1" t="s">
        <v>16</v>
      </c>
      <c r="G427" s="2">
        <v>45157</v>
      </c>
      <c r="H427">
        <v>6</v>
      </c>
      <c r="I427">
        <v>12068</v>
      </c>
      <c r="J427" s="1" t="s">
        <v>39</v>
      </c>
      <c r="K427">
        <v>2023</v>
      </c>
      <c r="L427" t="s">
        <v>47</v>
      </c>
      <c r="M427" t="s">
        <v>38</v>
      </c>
      <c r="N427">
        <v>8</v>
      </c>
    </row>
    <row r="428" spans="1:14" x14ac:dyDescent="0.25">
      <c r="A428">
        <v>427</v>
      </c>
      <c r="B428" s="1" t="s">
        <v>13</v>
      </c>
      <c r="C428">
        <v>86</v>
      </c>
      <c r="D428" s="1" t="s">
        <v>45</v>
      </c>
      <c r="E428" s="1" t="s">
        <v>22</v>
      </c>
      <c r="F428" s="1" t="s">
        <v>23</v>
      </c>
      <c r="G428" s="2">
        <v>45275</v>
      </c>
      <c r="H428">
        <v>11</v>
      </c>
      <c r="I428">
        <v>37230</v>
      </c>
      <c r="J428" s="1" t="s">
        <v>24</v>
      </c>
      <c r="K428">
        <v>2023</v>
      </c>
      <c r="L428" t="s">
        <v>26</v>
      </c>
      <c r="M428" t="s">
        <v>19</v>
      </c>
      <c r="N428">
        <v>12</v>
      </c>
    </row>
    <row r="429" spans="1:14" x14ac:dyDescent="0.25">
      <c r="A429">
        <v>428</v>
      </c>
      <c r="B429" s="1" t="s">
        <v>20</v>
      </c>
      <c r="C429">
        <v>11</v>
      </c>
      <c r="D429" s="1" t="s">
        <v>45</v>
      </c>
      <c r="E429" s="1" t="s">
        <v>31</v>
      </c>
      <c r="F429" s="1" t="s">
        <v>16</v>
      </c>
      <c r="G429" s="2">
        <v>45078</v>
      </c>
      <c r="H429">
        <v>14</v>
      </c>
      <c r="I429">
        <v>48418</v>
      </c>
      <c r="J429" s="1" t="s">
        <v>24</v>
      </c>
      <c r="K429">
        <v>2023</v>
      </c>
      <c r="L429" t="s">
        <v>40</v>
      </c>
      <c r="M429" t="s">
        <v>25</v>
      </c>
      <c r="N429">
        <v>6</v>
      </c>
    </row>
    <row r="430" spans="1:14" x14ac:dyDescent="0.25">
      <c r="A430">
        <v>429</v>
      </c>
      <c r="B430" s="1" t="s">
        <v>13</v>
      </c>
      <c r="C430">
        <v>23</v>
      </c>
      <c r="D430" s="1" t="s">
        <v>14</v>
      </c>
      <c r="E430" s="1" t="s">
        <v>27</v>
      </c>
      <c r="F430" s="1" t="s">
        <v>23</v>
      </c>
      <c r="G430" s="2">
        <v>45076</v>
      </c>
      <c r="H430">
        <v>12</v>
      </c>
      <c r="I430">
        <v>28206</v>
      </c>
      <c r="J430" s="1" t="s">
        <v>24</v>
      </c>
      <c r="K430">
        <v>2023</v>
      </c>
      <c r="L430" t="s">
        <v>42</v>
      </c>
      <c r="M430" t="s">
        <v>29</v>
      </c>
      <c r="N430">
        <v>5</v>
      </c>
    </row>
    <row r="431" spans="1:14" x14ac:dyDescent="0.25">
      <c r="A431">
        <v>430</v>
      </c>
      <c r="B431" s="1" t="s">
        <v>20</v>
      </c>
      <c r="C431">
        <v>1</v>
      </c>
      <c r="D431" s="1" t="s">
        <v>30</v>
      </c>
      <c r="E431" s="1" t="s">
        <v>27</v>
      </c>
      <c r="F431" s="1" t="s">
        <v>28</v>
      </c>
      <c r="G431" s="2">
        <v>45195</v>
      </c>
      <c r="H431">
        <v>5</v>
      </c>
      <c r="I431">
        <v>2287</v>
      </c>
      <c r="J431" s="1" t="s">
        <v>24</v>
      </c>
      <c r="K431">
        <v>2023</v>
      </c>
      <c r="L431" t="s">
        <v>44</v>
      </c>
      <c r="M431" t="s">
        <v>25</v>
      </c>
      <c r="N431">
        <v>9</v>
      </c>
    </row>
    <row r="432" spans="1:14" x14ac:dyDescent="0.25">
      <c r="A432">
        <v>431</v>
      </c>
      <c r="B432" s="1" t="s">
        <v>13</v>
      </c>
      <c r="C432">
        <v>46</v>
      </c>
      <c r="D432" s="1" t="s">
        <v>21</v>
      </c>
      <c r="E432" s="1" t="s">
        <v>31</v>
      </c>
      <c r="F432" s="1" t="s">
        <v>23</v>
      </c>
      <c r="G432" s="2">
        <v>45154</v>
      </c>
      <c r="H432">
        <v>3</v>
      </c>
      <c r="I432">
        <v>24337</v>
      </c>
      <c r="J432" s="1" t="s">
        <v>39</v>
      </c>
      <c r="K432">
        <v>2023</v>
      </c>
      <c r="L432" t="s">
        <v>47</v>
      </c>
      <c r="M432" t="s">
        <v>38</v>
      </c>
      <c r="N432">
        <v>8</v>
      </c>
    </row>
    <row r="433" spans="1:14" x14ac:dyDescent="0.25">
      <c r="A433">
        <v>432</v>
      </c>
      <c r="B433" s="1" t="s">
        <v>20</v>
      </c>
      <c r="C433">
        <v>21</v>
      </c>
      <c r="D433" s="1" t="s">
        <v>37</v>
      </c>
      <c r="E433" s="1" t="s">
        <v>15</v>
      </c>
      <c r="F433" s="1" t="s">
        <v>28</v>
      </c>
      <c r="G433" s="2">
        <v>44932</v>
      </c>
      <c r="H433">
        <v>6</v>
      </c>
      <c r="I433">
        <v>22666</v>
      </c>
      <c r="J433" s="1" t="s">
        <v>24</v>
      </c>
      <c r="K433">
        <v>2023</v>
      </c>
      <c r="L433" t="s">
        <v>48</v>
      </c>
      <c r="M433" t="s">
        <v>29</v>
      </c>
      <c r="N433">
        <v>1</v>
      </c>
    </row>
    <row r="434" spans="1:14" x14ac:dyDescent="0.25">
      <c r="A434">
        <v>433</v>
      </c>
      <c r="B434" s="1" t="s">
        <v>13</v>
      </c>
      <c r="C434">
        <v>36</v>
      </c>
      <c r="D434" s="1" t="s">
        <v>45</v>
      </c>
      <c r="E434" s="1" t="s">
        <v>15</v>
      </c>
      <c r="F434" s="1" t="s">
        <v>32</v>
      </c>
      <c r="G434" s="2">
        <v>45012</v>
      </c>
      <c r="H434">
        <v>6</v>
      </c>
      <c r="I434">
        <v>3161</v>
      </c>
      <c r="J434" s="1" t="s">
        <v>24</v>
      </c>
      <c r="K434">
        <v>2023</v>
      </c>
      <c r="L434" t="s">
        <v>43</v>
      </c>
      <c r="M434" t="s">
        <v>29</v>
      </c>
      <c r="N434">
        <v>3</v>
      </c>
    </row>
    <row r="435" spans="1:14" x14ac:dyDescent="0.25">
      <c r="A435">
        <v>434</v>
      </c>
      <c r="B435" s="1" t="s">
        <v>20</v>
      </c>
      <c r="C435">
        <v>54</v>
      </c>
      <c r="D435" s="1" t="s">
        <v>45</v>
      </c>
      <c r="E435" s="1" t="s">
        <v>15</v>
      </c>
      <c r="F435" s="1" t="s">
        <v>23</v>
      </c>
      <c r="G435" s="2">
        <v>44984</v>
      </c>
      <c r="H435">
        <v>14</v>
      </c>
      <c r="I435">
        <v>37131</v>
      </c>
      <c r="J435" s="1" t="s">
        <v>24</v>
      </c>
      <c r="K435">
        <v>2023</v>
      </c>
      <c r="L435" t="s">
        <v>46</v>
      </c>
      <c r="M435" t="s">
        <v>38</v>
      </c>
      <c r="N435">
        <v>2</v>
      </c>
    </row>
    <row r="436" spans="1:14" x14ac:dyDescent="0.25">
      <c r="A436">
        <v>435</v>
      </c>
      <c r="B436" s="1" t="s">
        <v>20</v>
      </c>
      <c r="C436">
        <v>87</v>
      </c>
      <c r="D436" s="1" t="s">
        <v>14</v>
      </c>
      <c r="E436" s="1" t="s">
        <v>31</v>
      </c>
      <c r="F436" s="1" t="s">
        <v>32</v>
      </c>
      <c r="G436" s="2">
        <v>44955</v>
      </c>
      <c r="H436">
        <v>8</v>
      </c>
      <c r="I436">
        <v>26535</v>
      </c>
      <c r="J436" s="1" t="s">
        <v>24</v>
      </c>
      <c r="K436">
        <v>2023</v>
      </c>
      <c r="L436" t="s">
        <v>48</v>
      </c>
      <c r="M436" t="s">
        <v>19</v>
      </c>
      <c r="N436">
        <v>1</v>
      </c>
    </row>
    <row r="437" spans="1:14" x14ac:dyDescent="0.25">
      <c r="A437">
        <v>436</v>
      </c>
      <c r="B437" s="1" t="s">
        <v>20</v>
      </c>
      <c r="C437">
        <v>57</v>
      </c>
      <c r="D437" s="1" t="s">
        <v>34</v>
      </c>
      <c r="E437" s="1" t="s">
        <v>15</v>
      </c>
      <c r="F437" s="1" t="s">
        <v>16</v>
      </c>
      <c r="G437" s="2">
        <v>44978</v>
      </c>
      <c r="H437">
        <v>2</v>
      </c>
      <c r="I437">
        <v>34528</v>
      </c>
      <c r="J437" s="1" t="s">
        <v>39</v>
      </c>
      <c r="K437">
        <v>2023</v>
      </c>
      <c r="L437" t="s">
        <v>46</v>
      </c>
      <c r="M437" t="s">
        <v>38</v>
      </c>
      <c r="N437">
        <v>2</v>
      </c>
    </row>
    <row r="438" spans="1:14" x14ac:dyDescent="0.25">
      <c r="A438">
        <v>437</v>
      </c>
      <c r="B438" s="1" t="s">
        <v>20</v>
      </c>
      <c r="C438">
        <v>1</v>
      </c>
      <c r="D438" s="1" t="s">
        <v>37</v>
      </c>
      <c r="E438" s="1" t="s">
        <v>22</v>
      </c>
      <c r="F438" s="1" t="s">
        <v>28</v>
      </c>
      <c r="G438" s="2">
        <v>45107</v>
      </c>
      <c r="H438">
        <v>1</v>
      </c>
      <c r="I438">
        <v>40751</v>
      </c>
      <c r="J438" s="1" t="s">
        <v>39</v>
      </c>
      <c r="K438">
        <v>2023</v>
      </c>
      <c r="L438" t="s">
        <v>40</v>
      </c>
      <c r="M438" t="s">
        <v>25</v>
      </c>
      <c r="N438">
        <v>6</v>
      </c>
    </row>
    <row r="439" spans="1:14" x14ac:dyDescent="0.25">
      <c r="A439">
        <v>438</v>
      </c>
      <c r="B439" s="1" t="s">
        <v>20</v>
      </c>
      <c r="C439">
        <v>63</v>
      </c>
      <c r="D439" s="1" t="s">
        <v>37</v>
      </c>
      <c r="E439" s="1" t="s">
        <v>27</v>
      </c>
      <c r="F439" s="1" t="s">
        <v>23</v>
      </c>
      <c r="G439" s="2">
        <v>45142</v>
      </c>
      <c r="H439">
        <v>4</v>
      </c>
      <c r="I439">
        <v>18527</v>
      </c>
      <c r="J439" s="1" t="s">
        <v>24</v>
      </c>
      <c r="K439">
        <v>2023</v>
      </c>
      <c r="L439" t="s">
        <v>47</v>
      </c>
      <c r="M439" t="s">
        <v>19</v>
      </c>
      <c r="N439">
        <v>8</v>
      </c>
    </row>
    <row r="440" spans="1:14" x14ac:dyDescent="0.25">
      <c r="A440">
        <v>439</v>
      </c>
      <c r="B440" s="1" t="s">
        <v>13</v>
      </c>
      <c r="C440">
        <v>54</v>
      </c>
      <c r="D440" s="1" t="s">
        <v>45</v>
      </c>
      <c r="E440" s="1" t="s">
        <v>22</v>
      </c>
      <c r="F440" s="1" t="s">
        <v>32</v>
      </c>
      <c r="G440" s="2">
        <v>44951</v>
      </c>
      <c r="H440">
        <v>7</v>
      </c>
      <c r="I440">
        <v>42975</v>
      </c>
      <c r="J440" s="1" t="s">
        <v>17</v>
      </c>
      <c r="K440">
        <v>2023</v>
      </c>
      <c r="L440" t="s">
        <v>48</v>
      </c>
      <c r="M440" t="s">
        <v>38</v>
      </c>
      <c r="N440">
        <v>1</v>
      </c>
    </row>
    <row r="441" spans="1:14" x14ac:dyDescent="0.25">
      <c r="A441">
        <v>440</v>
      </c>
      <c r="B441" s="1" t="s">
        <v>13</v>
      </c>
      <c r="C441">
        <v>55</v>
      </c>
      <c r="D441" s="1" t="s">
        <v>30</v>
      </c>
      <c r="E441" s="1" t="s">
        <v>15</v>
      </c>
      <c r="F441" s="1" t="s">
        <v>28</v>
      </c>
      <c r="G441" s="2">
        <v>45257</v>
      </c>
      <c r="H441">
        <v>11</v>
      </c>
      <c r="I441">
        <v>25853</v>
      </c>
      <c r="J441" s="1" t="s">
        <v>39</v>
      </c>
      <c r="K441">
        <v>2023</v>
      </c>
      <c r="L441" t="s">
        <v>18</v>
      </c>
      <c r="M441" t="s">
        <v>38</v>
      </c>
      <c r="N441">
        <v>11</v>
      </c>
    </row>
    <row r="442" spans="1:14" x14ac:dyDescent="0.25">
      <c r="A442">
        <v>441</v>
      </c>
      <c r="B442" s="1" t="s">
        <v>13</v>
      </c>
      <c r="C442">
        <v>40</v>
      </c>
      <c r="D442" s="1" t="s">
        <v>34</v>
      </c>
      <c r="E442" s="1" t="s">
        <v>22</v>
      </c>
      <c r="F442" s="1" t="s">
        <v>28</v>
      </c>
      <c r="G442" s="2">
        <v>45186</v>
      </c>
      <c r="H442">
        <v>10</v>
      </c>
      <c r="I442">
        <v>16758</v>
      </c>
      <c r="J442" s="1" t="s">
        <v>24</v>
      </c>
      <c r="K442">
        <v>2023</v>
      </c>
      <c r="L442" t="s">
        <v>44</v>
      </c>
      <c r="M442" t="s">
        <v>38</v>
      </c>
      <c r="N442">
        <v>9</v>
      </c>
    </row>
    <row r="443" spans="1:14" x14ac:dyDescent="0.25">
      <c r="A443">
        <v>442</v>
      </c>
      <c r="B443" s="1" t="s">
        <v>20</v>
      </c>
      <c r="C443">
        <v>15</v>
      </c>
      <c r="D443" s="1" t="s">
        <v>37</v>
      </c>
      <c r="E443" s="1" t="s">
        <v>15</v>
      </c>
      <c r="F443" s="1" t="s">
        <v>16</v>
      </c>
      <c r="G443" s="2">
        <v>44933</v>
      </c>
      <c r="H443">
        <v>3</v>
      </c>
      <c r="I443">
        <v>2244</v>
      </c>
      <c r="J443" s="1" t="s">
        <v>24</v>
      </c>
      <c r="K443">
        <v>2023</v>
      </c>
      <c r="L443" t="s">
        <v>48</v>
      </c>
      <c r="M443" t="s">
        <v>25</v>
      </c>
      <c r="N443">
        <v>1</v>
      </c>
    </row>
    <row r="444" spans="1:14" x14ac:dyDescent="0.25">
      <c r="A444">
        <v>443</v>
      </c>
      <c r="B444" s="1" t="s">
        <v>13</v>
      </c>
      <c r="C444">
        <v>21</v>
      </c>
      <c r="D444" s="1" t="s">
        <v>45</v>
      </c>
      <c r="E444" s="1" t="s">
        <v>31</v>
      </c>
      <c r="F444" s="1" t="s">
        <v>16</v>
      </c>
      <c r="G444" s="2">
        <v>45291</v>
      </c>
      <c r="H444">
        <v>3</v>
      </c>
      <c r="I444">
        <v>5178</v>
      </c>
      <c r="J444" s="1" t="s">
        <v>17</v>
      </c>
      <c r="K444">
        <v>2023</v>
      </c>
      <c r="L444" t="s">
        <v>26</v>
      </c>
      <c r="M444" t="s">
        <v>29</v>
      </c>
      <c r="N444">
        <v>12</v>
      </c>
    </row>
    <row r="445" spans="1:14" x14ac:dyDescent="0.25">
      <c r="A445">
        <v>444</v>
      </c>
      <c r="B445" s="1" t="s">
        <v>20</v>
      </c>
      <c r="C445">
        <v>47</v>
      </c>
      <c r="D445" s="1" t="s">
        <v>37</v>
      </c>
      <c r="E445" s="1" t="s">
        <v>22</v>
      </c>
      <c r="F445" s="1" t="s">
        <v>28</v>
      </c>
      <c r="G445" s="2">
        <v>45183</v>
      </c>
      <c r="H445">
        <v>5</v>
      </c>
      <c r="I445">
        <v>33831</v>
      </c>
      <c r="J445" s="1" t="s">
        <v>24</v>
      </c>
      <c r="K445">
        <v>2023</v>
      </c>
      <c r="L445" t="s">
        <v>44</v>
      </c>
      <c r="M445" t="s">
        <v>38</v>
      </c>
      <c r="N445">
        <v>9</v>
      </c>
    </row>
    <row r="446" spans="1:14" x14ac:dyDescent="0.25">
      <c r="A446">
        <v>445</v>
      </c>
      <c r="B446" s="1" t="s">
        <v>20</v>
      </c>
      <c r="C446">
        <v>73</v>
      </c>
      <c r="D446" s="1" t="s">
        <v>34</v>
      </c>
      <c r="E446" s="1" t="s">
        <v>31</v>
      </c>
      <c r="F446" s="1" t="s">
        <v>28</v>
      </c>
      <c r="G446" s="2">
        <v>45177</v>
      </c>
      <c r="H446">
        <v>5</v>
      </c>
      <c r="I446">
        <v>4176</v>
      </c>
      <c r="J446" s="1" t="s">
        <v>39</v>
      </c>
      <c r="K446">
        <v>2023</v>
      </c>
      <c r="L446" t="s">
        <v>44</v>
      </c>
      <c r="M446" t="s">
        <v>19</v>
      </c>
      <c r="N446">
        <v>9</v>
      </c>
    </row>
    <row r="447" spans="1:14" x14ac:dyDescent="0.25">
      <c r="A447">
        <v>446</v>
      </c>
      <c r="B447" s="1" t="s">
        <v>13</v>
      </c>
      <c r="C447">
        <v>53</v>
      </c>
      <c r="D447" s="1" t="s">
        <v>34</v>
      </c>
      <c r="E447" s="1" t="s">
        <v>31</v>
      </c>
      <c r="F447" s="1" t="s">
        <v>23</v>
      </c>
      <c r="G447" s="2">
        <v>45080</v>
      </c>
      <c r="H447">
        <v>13</v>
      </c>
      <c r="I447">
        <v>39770</v>
      </c>
      <c r="J447" s="1" t="s">
        <v>24</v>
      </c>
      <c r="K447">
        <v>2023</v>
      </c>
      <c r="L447" t="s">
        <v>40</v>
      </c>
      <c r="M447" t="s">
        <v>38</v>
      </c>
      <c r="N447">
        <v>6</v>
      </c>
    </row>
    <row r="448" spans="1:14" x14ac:dyDescent="0.25">
      <c r="A448">
        <v>447</v>
      </c>
      <c r="B448" s="1" t="s">
        <v>13</v>
      </c>
      <c r="C448">
        <v>9</v>
      </c>
      <c r="D448" s="1" t="s">
        <v>21</v>
      </c>
      <c r="E448" s="1" t="s">
        <v>35</v>
      </c>
      <c r="F448" s="1" t="s">
        <v>28</v>
      </c>
      <c r="G448" s="2">
        <v>45139</v>
      </c>
      <c r="H448">
        <v>10</v>
      </c>
      <c r="I448">
        <v>35654</v>
      </c>
      <c r="J448" s="1" t="s">
        <v>24</v>
      </c>
      <c r="K448">
        <v>2023</v>
      </c>
      <c r="L448" t="s">
        <v>47</v>
      </c>
      <c r="M448" t="s">
        <v>25</v>
      </c>
      <c r="N448">
        <v>8</v>
      </c>
    </row>
    <row r="449" spans="1:14" x14ac:dyDescent="0.25">
      <c r="A449">
        <v>448</v>
      </c>
      <c r="B449" s="1" t="s">
        <v>20</v>
      </c>
      <c r="C449">
        <v>74</v>
      </c>
      <c r="D449" s="1" t="s">
        <v>14</v>
      </c>
      <c r="E449" s="1" t="s">
        <v>15</v>
      </c>
      <c r="F449" s="1" t="s">
        <v>23</v>
      </c>
      <c r="G449" s="2">
        <v>44978</v>
      </c>
      <c r="H449">
        <v>3</v>
      </c>
      <c r="I449">
        <v>28627</v>
      </c>
      <c r="J449" s="1" t="s">
        <v>24</v>
      </c>
      <c r="K449">
        <v>2023</v>
      </c>
      <c r="L449" t="s">
        <v>46</v>
      </c>
      <c r="M449" t="s">
        <v>19</v>
      </c>
      <c r="N449">
        <v>2</v>
      </c>
    </row>
    <row r="450" spans="1:14" x14ac:dyDescent="0.25">
      <c r="A450">
        <v>449</v>
      </c>
      <c r="B450" s="1" t="s">
        <v>13</v>
      </c>
      <c r="C450">
        <v>52</v>
      </c>
      <c r="D450" s="1" t="s">
        <v>14</v>
      </c>
      <c r="E450" s="1" t="s">
        <v>27</v>
      </c>
      <c r="F450" s="1" t="s">
        <v>28</v>
      </c>
      <c r="G450" s="2">
        <v>45008</v>
      </c>
      <c r="H450">
        <v>9</v>
      </c>
      <c r="I450">
        <v>48489</v>
      </c>
      <c r="J450" s="1" t="s">
        <v>24</v>
      </c>
      <c r="K450">
        <v>2023</v>
      </c>
      <c r="L450" t="s">
        <v>43</v>
      </c>
      <c r="M450" t="s">
        <v>38</v>
      </c>
      <c r="N450">
        <v>3</v>
      </c>
    </row>
    <row r="451" spans="1:14" x14ac:dyDescent="0.25">
      <c r="A451">
        <v>450</v>
      </c>
      <c r="B451" s="1" t="s">
        <v>20</v>
      </c>
      <c r="C451">
        <v>57</v>
      </c>
      <c r="D451" s="1" t="s">
        <v>45</v>
      </c>
      <c r="E451" s="1" t="s">
        <v>15</v>
      </c>
      <c r="F451" s="1" t="s">
        <v>16</v>
      </c>
      <c r="G451" s="2">
        <v>44985</v>
      </c>
      <c r="H451">
        <v>4</v>
      </c>
      <c r="I451">
        <v>46910</v>
      </c>
      <c r="J451" s="1" t="s">
        <v>17</v>
      </c>
      <c r="K451">
        <v>2023</v>
      </c>
      <c r="L451" t="s">
        <v>46</v>
      </c>
      <c r="M451" t="s">
        <v>38</v>
      </c>
      <c r="N451">
        <v>2</v>
      </c>
    </row>
    <row r="452" spans="1:14" x14ac:dyDescent="0.25">
      <c r="A452">
        <v>451</v>
      </c>
      <c r="B452" s="1" t="s">
        <v>20</v>
      </c>
      <c r="C452">
        <v>26</v>
      </c>
      <c r="D452" s="1" t="s">
        <v>34</v>
      </c>
      <c r="E452" s="1" t="s">
        <v>27</v>
      </c>
      <c r="F452" s="1" t="s">
        <v>23</v>
      </c>
      <c r="G452" s="2">
        <v>44958</v>
      </c>
      <c r="H452">
        <v>13</v>
      </c>
      <c r="I452">
        <v>26881</v>
      </c>
      <c r="J452" s="1" t="s">
        <v>24</v>
      </c>
      <c r="K452">
        <v>2023</v>
      </c>
      <c r="L452" t="s">
        <v>46</v>
      </c>
      <c r="M452" t="s">
        <v>29</v>
      </c>
      <c r="N452">
        <v>2</v>
      </c>
    </row>
    <row r="453" spans="1:14" x14ac:dyDescent="0.25">
      <c r="A453">
        <v>452</v>
      </c>
      <c r="B453" s="1" t="s">
        <v>20</v>
      </c>
      <c r="C453">
        <v>41</v>
      </c>
      <c r="D453" s="1" t="s">
        <v>21</v>
      </c>
      <c r="E453" s="1" t="s">
        <v>15</v>
      </c>
      <c r="F453" s="1" t="s">
        <v>32</v>
      </c>
      <c r="G453" s="2">
        <v>45074</v>
      </c>
      <c r="H453">
        <v>13</v>
      </c>
      <c r="I453">
        <v>37422</v>
      </c>
      <c r="J453" s="1" t="s">
        <v>24</v>
      </c>
      <c r="K453">
        <v>2023</v>
      </c>
      <c r="L453" t="s">
        <v>42</v>
      </c>
      <c r="M453" t="s">
        <v>38</v>
      </c>
      <c r="N453">
        <v>5</v>
      </c>
    </row>
    <row r="454" spans="1:14" x14ac:dyDescent="0.25">
      <c r="A454">
        <v>453</v>
      </c>
      <c r="B454" s="1" t="s">
        <v>20</v>
      </c>
      <c r="C454">
        <v>35</v>
      </c>
      <c r="D454" s="1" t="s">
        <v>21</v>
      </c>
      <c r="E454" s="1" t="s">
        <v>31</v>
      </c>
      <c r="F454" s="1" t="s">
        <v>16</v>
      </c>
      <c r="G454" s="2">
        <v>44933</v>
      </c>
      <c r="H454">
        <v>3</v>
      </c>
      <c r="I454">
        <v>13984</v>
      </c>
      <c r="J454" s="1" t="s">
        <v>17</v>
      </c>
      <c r="K454">
        <v>2023</v>
      </c>
      <c r="L454" t="s">
        <v>48</v>
      </c>
      <c r="M454" t="s">
        <v>29</v>
      </c>
      <c r="N454">
        <v>1</v>
      </c>
    </row>
    <row r="455" spans="1:14" x14ac:dyDescent="0.25">
      <c r="A455">
        <v>454</v>
      </c>
      <c r="B455" s="1" t="s">
        <v>20</v>
      </c>
      <c r="C455">
        <v>63</v>
      </c>
      <c r="D455" s="1" t="s">
        <v>37</v>
      </c>
      <c r="E455" s="1" t="s">
        <v>22</v>
      </c>
      <c r="F455" s="1" t="s">
        <v>23</v>
      </c>
      <c r="G455" s="2">
        <v>45099</v>
      </c>
      <c r="H455">
        <v>11</v>
      </c>
      <c r="I455">
        <v>25776</v>
      </c>
      <c r="J455" s="1" t="s">
        <v>24</v>
      </c>
      <c r="K455">
        <v>2023</v>
      </c>
      <c r="L455" t="s">
        <v>40</v>
      </c>
      <c r="M455" t="s">
        <v>19</v>
      </c>
      <c r="N455">
        <v>6</v>
      </c>
    </row>
    <row r="456" spans="1:14" x14ac:dyDescent="0.25">
      <c r="A456">
        <v>455</v>
      </c>
      <c r="B456" s="1" t="s">
        <v>13</v>
      </c>
      <c r="C456">
        <v>25</v>
      </c>
      <c r="D456" s="1" t="s">
        <v>37</v>
      </c>
      <c r="E456" s="1" t="s">
        <v>22</v>
      </c>
      <c r="F456" s="1" t="s">
        <v>23</v>
      </c>
      <c r="G456" s="2">
        <v>45220</v>
      </c>
      <c r="H456">
        <v>2</v>
      </c>
      <c r="I456">
        <v>19755</v>
      </c>
      <c r="J456" s="1" t="s">
        <v>24</v>
      </c>
      <c r="K456">
        <v>2023</v>
      </c>
      <c r="L456" t="s">
        <v>41</v>
      </c>
      <c r="M456" t="s">
        <v>29</v>
      </c>
      <c r="N456">
        <v>10</v>
      </c>
    </row>
    <row r="457" spans="1:14" x14ac:dyDescent="0.25">
      <c r="A457">
        <v>456</v>
      </c>
      <c r="B457" s="1" t="s">
        <v>13</v>
      </c>
      <c r="C457">
        <v>75</v>
      </c>
      <c r="D457" s="1" t="s">
        <v>21</v>
      </c>
      <c r="E457" s="1" t="s">
        <v>35</v>
      </c>
      <c r="F457" s="1" t="s">
        <v>32</v>
      </c>
      <c r="G457" s="2">
        <v>44971</v>
      </c>
      <c r="H457">
        <v>10</v>
      </c>
      <c r="I457">
        <v>9135</v>
      </c>
      <c r="J457" s="1" t="s">
        <v>39</v>
      </c>
      <c r="K457">
        <v>2023</v>
      </c>
      <c r="L457" t="s">
        <v>46</v>
      </c>
      <c r="M457" t="s">
        <v>19</v>
      </c>
      <c r="N457">
        <v>2</v>
      </c>
    </row>
    <row r="458" spans="1:14" x14ac:dyDescent="0.25">
      <c r="A458">
        <v>457</v>
      </c>
      <c r="B458" s="1" t="s">
        <v>20</v>
      </c>
      <c r="C458">
        <v>38</v>
      </c>
      <c r="D458" s="1" t="s">
        <v>37</v>
      </c>
      <c r="E458" s="1" t="s">
        <v>27</v>
      </c>
      <c r="F458" s="1" t="s">
        <v>23</v>
      </c>
      <c r="G458" s="2">
        <v>44943</v>
      </c>
      <c r="H458">
        <v>13</v>
      </c>
      <c r="I458">
        <v>2320</v>
      </c>
      <c r="J458" s="1" t="s">
        <v>39</v>
      </c>
      <c r="K458">
        <v>2023</v>
      </c>
      <c r="L458" t="s">
        <v>48</v>
      </c>
      <c r="M458" t="s">
        <v>29</v>
      </c>
      <c r="N458">
        <v>1</v>
      </c>
    </row>
    <row r="459" spans="1:14" x14ac:dyDescent="0.25">
      <c r="A459">
        <v>458</v>
      </c>
      <c r="B459" s="1" t="s">
        <v>20</v>
      </c>
      <c r="C459">
        <v>2</v>
      </c>
      <c r="D459" s="1" t="s">
        <v>34</v>
      </c>
      <c r="E459" s="1" t="s">
        <v>27</v>
      </c>
      <c r="F459" s="1" t="s">
        <v>28</v>
      </c>
      <c r="G459" s="2">
        <v>45191</v>
      </c>
      <c r="H459">
        <v>11</v>
      </c>
      <c r="I459">
        <v>39422</v>
      </c>
      <c r="J459" s="1" t="s">
        <v>24</v>
      </c>
      <c r="K459">
        <v>2023</v>
      </c>
      <c r="L459" t="s">
        <v>44</v>
      </c>
      <c r="M459" t="s">
        <v>25</v>
      </c>
      <c r="N459">
        <v>9</v>
      </c>
    </row>
    <row r="460" spans="1:14" x14ac:dyDescent="0.25">
      <c r="A460">
        <v>459</v>
      </c>
      <c r="B460" s="1" t="s">
        <v>13</v>
      </c>
      <c r="C460">
        <v>7</v>
      </c>
      <c r="D460" s="1" t="s">
        <v>30</v>
      </c>
      <c r="E460" s="1" t="s">
        <v>27</v>
      </c>
      <c r="F460" s="1" t="s">
        <v>32</v>
      </c>
      <c r="G460" s="2">
        <v>45243</v>
      </c>
      <c r="H460">
        <v>9</v>
      </c>
      <c r="I460">
        <v>30635</v>
      </c>
      <c r="J460" s="1" t="s">
        <v>24</v>
      </c>
      <c r="K460">
        <v>2023</v>
      </c>
      <c r="L460" t="s">
        <v>18</v>
      </c>
      <c r="M460" t="s">
        <v>25</v>
      </c>
      <c r="N460">
        <v>11</v>
      </c>
    </row>
    <row r="461" spans="1:14" x14ac:dyDescent="0.25">
      <c r="A461">
        <v>460</v>
      </c>
      <c r="B461" s="1" t="s">
        <v>13</v>
      </c>
      <c r="C461">
        <v>82</v>
      </c>
      <c r="D461" s="1" t="s">
        <v>34</v>
      </c>
      <c r="E461" s="1" t="s">
        <v>31</v>
      </c>
      <c r="F461" s="1" t="s">
        <v>16</v>
      </c>
      <c r="G461" s="2">
        <v>45018</v>
      </c>
      <c r="H461">
        <v>4</v>
      </c>
      <c r="I461">
        <v>23684</v>
      </c>
      <c r="J461" s="1" t="s">
        <v>24</v>
      </c>
      <c r="K461">
        <v>2023</v>
      </c>
      <c r="L461" t="s">
        <v>33</v>
      </c>
      <c r="M461" t="s">
        <v>19</v>
      </c>
      <c r="N461">
        <v>4</v>
      </c>
    </row>
    <row r="462" spans="1:14" x14ac:dyDescent="0.25">
      <c r="A462">
        <v>461</v>
      </c>
      <c r="B462" s="1" t="s">
        <v>20</v>
      </c>
      <c r="C462">
        <v>34</v>
      </c>
      <c r="D462" s="1" t="s">
        <v>21</v>
      </c>
      <c r="E462" s="1" t="s">
        <v>27</v>
      </c>
      <c r="F462" s="1" t="s">
        <v>16</v>
      </c>
      <c r="G462" s="2">
        <v>45137</v>
      </c>
      <c r="H462">
        <v>3</v>
      </c>
      <c r="I462">
        <v>25238</v>
      </c>
      <c r="J462" s="1" t="s">
        <v>24</v>
      </c>
      <c r="K462">
        <v>2023</v>
      </c>
      <c r="L462" t="s">
        <v>36</v>
      </c>
      <c r="M462" t="s">
        <v>29</v>
      </c>
      <c r="N462">
        <v>7</v>
      </c>
    </row>
    <row r="463" spans="1:14" x14ac:dyDescent="0.25">
      <c r="A463">
        <v>462</v>
      </c>
      <c r="B463" s="1" t="s">
        <v>13</v>
      </c>
      <c r="C463">
        <v>17</v>
      </c>
      <c r="D463" s="1" t="s">
        <v>21</v>
      </c>
      <c r="E463" s="1" t="s">
        <v>22</v>
      </c>
      <c r="F463" s="1" t="s">
        <v>28</v>
      </c>
      <c r="G463" s="2">
        <v>44961</v>
      </c>
      <c r="H463">
        <v>7</v>
      </c>
      <c r="I463">
        <v>23889</v>
      </c>
      <c r="J463" s="1" t="s">
        <v>24</v>
      </c>
      <c r="K463">
        <v>2023</v>
      </c>
      <c r="L463" t="s">
        <v>46</v>
      </c>
      <c r="M463" t="s">
        <v>25</v>
      </c>
      <c r="N463">
        <v>2</v>
      </c>
    </row>
    <row r="464" spans="1:14" x14ac:dyDescent="0.25">
      <c r="A464">
        <v>463</v>
      </c>
      <c r="B464" s="1" t="s">
        <v>20</v>
      </c>
      <c r="C464">
        <v>43</v>
      </c>
      <c r="D464" s="1" t="s">
        <v>34</v>
      </c>
      <c r="E464" s="1" t="s">
        <v>31</v>
      </c>
      <c r="F464" s="1" t="s">
        <v>16</v>
      </c>
      <c r="G464" s="2">
        <v>45166</v>
      </c>
      <c r="H464">
        <v>8</v>
      </c>
      <c r="I464">
        <v>32313</v>
      </c>
      <c r="J464" s="1" t="s">
        <v>24</v>
      </c>
      <c r="K464">
        <v>2023</v>
      </c>
      <c r="L464" t="s">
        <v>47</v>
      </c>
      <c r="M464" t="s">
        <v>38</v>
      </c>
      <c r="N464">
        <v>8</v>
      </c>
    </row>
    <row r="465" spans="1:14" x14ac:dyDescent="0.25">
      <c r="A465">
        <v>464</v>
      </c>
      <c r="B465" s="1" t="s">
        <v>13</v>
      </c>
      <c r="C465">
        <v>59</v>
      </c>
      <c r="D465" s="1" t="s">
        <v>37</v>
      </c>
      <c r="E465" s="1" t="s">
        <v>15</v>
      </c>
      <c r="F465" s="1" t="s">
        <v>23</v>
      </c>
      <c r="G465" s="2">
        <v>45276</v>
      </c>
      <c r="H465">
        <v>11</v>
      </c>
      <c r="I465">
        <v>34535</v>
      </c>
      <c r="J465" s="1" t="s">
        <v>24</v>
      </c>
      <c r="K465">
        <v>2023</v>
      </c>
      <c r="L465" t="s">
        <v>26</v>
      </c>
      <c r="M465" t="s">
        <v>38</v>
      </c>
      <c r="N465">
        <v>12</v>
      </c>
    </row>
    <row r="466" spans="1:14" x14ac:dyDescent="0.25">
      <c r="A466">
        <v>465</v>
      </c>
      <c r="B466" s="1" t="s">
        <v>20</v>
      </c>
      <c r="C466">
        <v>51</v>
      </c>
      <c r="D466" s="1" t="s">
        <v>37</v>
      </c>
      <c r="E466" s="1" t="s">
        <v>27</v>
      </c>
      <c r="F466" s="1" t="s">
        <v>23</v>
      </c>
      <c r="G466" s="2">
        <v>45031</v>
      </c>
      <c r="H466">
        <v>14</v>
      </c>
      <c r="I466">
        <v>12770</v>
      </c>
      <c r="J466" s="1" t="s">
        <v>24</v>
      </c>
      <c r="K466">
        <v>2023</v>
      </c>
      <c r="L466" t="s">
        <v>33</v>
      </c>
      <c r="M466" t="s">
        <v>38</v>
      </c>
      <c r="N466">
        <v>4</v>
      </c>
    </row>
    <row r="467" spans="1:14" x14ac:dyDescent="0.25">
      <c r="A467">
        <v>466</v>
      </c>
      <c r="B467" s="1" t="s">
        <v>13</v>
      </c>
      <c r="C467">
        <v>54</v>
      </c>
      <c r="D467" s="1" t="s">
        <v>14</v>
      </c>
      <c r="E467" s="1" t="s">
        <v>27</v>
      </c>
      <c r="F467" s="1" t="s">
        <v>28</v>
      </c>
      <c r="G467" s="2">
        <v>45125</v>
      </c>
      <c r="H467">
        <v>2</v>
      </c>
      <c r="I467">
        <v>41321</v>
      </c>
      <c r="J467" s="1" t="s">
        <v>24</v>
      </c>
      <c r="K467">
        <v>2023</v>
      </c>
      <c r="L467" t="s">
        <v>36</v>
      </c>
      <c r="M467" t="s">
        <v>38</v>
      </c>
      <c r="N467">
        <v>7</v>
      </c>
    </row>
    <row r="468" spans="1:14" x14ac:dyDescent="0.25">
      <c r="A468">
        <v>467</v>
      </c>
      <c r="B468" s="1" t="s">
        <v>20</v>
      </c>
      <c r="C468">
        <v>24</v>
      </c>
      <c r="D468" s="1" t="s">
        <v>21</v>
      </c>
      <c r="E468" s="1" t="s">
        <v>15</v>
      </c>
      <c r="F468" s="1" t="s">
        <v>16</v>
      </c>
      <c r="G468" s="2">
        <v>45173</v>
      </c>
      <c r="H468">
        <v>7</v>
      </c>
      <c r="I468">
        <v>22426</v>
      </c>
      <c r="J468" s="1" t="s">
        <v>24</v>
      </c>
      <c r="K468">
        <v>2023</v>
      </c>
      <c r="L468" t="s">
        <v>44</v>
      </c>
      <c r="M468" t="s">
        <v>29</v>
      </c>
      <c r="N468">
        <v>9</v>
      </c>
    </row>
    <row r="469" spans="1:14" x14ac:dyDescent="0.25">
      <c r="A469">
        <v>468</v>
      </c>
      <c r="B469" s="1" t="s">
        <v>13</v>
      </c>
      <c r="C469">
        <v>25</v>
      </c>
      <c r="D469" s="1" t="s">
        <v>45</v>
      </c>
      <c r="E469" s="1" t="s">
        <v>27</v>
      </c>
      <c r="F469" s="1" t="s">
        <v>16</v>
      </c>
      <c r="G469" s="2">
        <v>44938</v>
      </c>
      <c r="H469">
        <v>12</v>
      </c>
      <c r="I469">
        <v>46327</v>
      </c>
      <c r="J469" s="1" t="s">
        <v>39</v>
      </c>
      <c r="K469">
        <v>2023</v>
      </c>
      <c r="L469" t="s">
        <v>48</v>
      </c>
      <c r="M469" t="s">
        <v>29</v>
      </c>
      <c r="N469">
        <v>1</v>
      </c>
    </row>
    <row r="470" spans="1:14" x14ac:dyDescent="0.25">
      <c r="A470">
        <v>469</v>
      </c>
      <c r="B470" s="1" t="s">
        <v>13</v>
      </c>
      <c r="C470">
        <v>71</v>
      </c>
      <c r="D470" s="1" t="s">
        <v>14</v>
      </c>
      <c r="E470" s="1" t="s">
        <v>15</v>
      </c>
      <c r="F470" s="1" t="s">
        <v>28</v>
      </c>
      <c r="G470" s="2">
        <v>44986</v>
      </c>
      <c r="H470">
        <v>5</v>
      </c>
      <c r="I470">
        <v>43777</v>
      </c>
      <c r="J470" s="1" t="s">
        <v>39</v>
      </c>
      <c r="K470">
        <v>2023</v>
      </c>
      <c r="L470" t="s">
        <v>43</v>
      </c>
      <c r="M470" t="s">
        <v>19</v>
      </c>
      <c r="N470">
        <v>3</v>
      </c>
    </row>
    <row r="471" spans="1:14" x14ac:dyDescent="0.25">
      <c r="A471">
        <v>470</v>
      </c>
      <c r="B471" s="1" t="s">
        <v>20</v>
      </c>
      <c r="C471">
        <v>52</v>
      </c>
      <c r="D471" s="1" t="s">
        <v>37</v>
      </c>
      <c r="E471" s="1" t="s">
        <v>31</v>
      </c>
      <c r="F471" s="1" t="s">
        <v>32</v>
      </c>
      <c r="G471" s="2">
        <v>45107</v>
      </c>
      <c r="H471">
        <v>11</v>
      </c>
      <c r="I471">
        <v>48250</v>
      </c>
      <c r="J471" s="1" t="s">
        <v>24</v>
      </c>
      <c r="K471">
        <v>2023</v>
      </c>
      <c r="L471" t="s">
        <v>40</v>
      </c>
      <c r="M471" t="s">
        <v>38</v>
      </c>
      <c r="N471">
        <v>6</v>
      </c>
    </row>
    <row r="472" spans="1:14" x14ac:dyDescent="0.25">
      <c r="A472">
        <v>471</v>
      </c>
      <c r="B472" s="1" t="s">
        <v>13</v>
      </c>
      <c r="C472">
        <v>70</v>
      </c>
      <c r="D472" s="1" t="s">
        <v>34</v>
      </c>
      <c r="E472" s="1" t="s">
        <v>22</v>
      </c>
      <c r="F472" s="1" t="s">
        <v>16</v>
      </c>
      <c r="G472" s="2">
        <v>45173</v>
      </c>
      <c r="H472">
        <v>5</v>
      </c>
      <c r="I472">
        <v>9498</v>
      </c>
      <c r="J472" s="1" t="s">
        <v>24</v>
      </c>
      <c r="K472">
        <v>2023</v>
      </c>
      <c r="L472" t="s">
        <v>44</v>
      </c>
      <c r="M472" t="s">
        <v>19</v>
      </c>
      <c r="N472">
        <v>9</v>
      </c>
    </row>
    <row r="473" spans="1:14" x14ac:dyDescent="0.25">
      <c r="A473">
        <v>472</v>
      </c>
      <c r="B473" s="1" t="s">
        <v>20</v>
      </c>
      <c r="C473">
        <v>88</v>
      </c>
      <c r="D473" s="1" t="s">
        <v>37</v>
      </c>
      <c r="E473" s="1" t="s">
        <v>15</v>
      </c>
      <c r="F473" s="1" t="s">
        <v>32</v>
      </c>
      <c r="G473" s="2">
        <v>45000</v>
      </c>
      <c r="H473">
        <v>3</v>
      </c>
      <c r="I473">
        <v>41404</v>
      </c>
      <c r="J473" s="1" t="s">
        <v>24</v>
      </c>
      <c r="K473">
        <v>2023</v>
      </c>
      <c r="L473" t="s">
        <v>43</v>
      </c>
      <c r="M473" t="s">
        <v>19</v>
      </c>
      <c r="N473">
        <v>3</v>
      </c>
    </row>
    <row r="474" spans="1:14" x14ac:dyDescent="0.25">
      <c r="A474">
        <v>473</v>
      </c>
      <c r="B474" s="1" t="s">
        <v>13</v>
      </c>
      <c r="C474">
        <v>33</v>
      </c>
      <c r="D474" s="1" t="s">
        <v>34</v>
      </c>
      <c r="E474" s="1" t="s">
        <v>35</v>
      </c>
      <c r="F474" s="1" t="s">
        <v>16</v>
      </c>
      <c r="G474" s="2">
        <v>45248</v>
      </c>
      <c r="H474">
        <v>5</v>
      </c>
      <c r="I474">
        <v>42130</v>
      </c>
      <c r="J474" s="1" t="s">
        <v>24</v>
      </c>
      <c r="K474">
        <v>2023</v>
      </c>
      <c r="L474" t="s">
        <v>18</v>
      </c>
      <c r="M474" t="s">
        <v>29</v>
      </c>
      <c r="N474">
        <v>11</v>
      </c>
    </row>
    <row r="475" spans="1:14" x14ac:dyDescent="0.25">
      <c r="A475">
        <v>474</v>
      </c>
      <c r="B475" s="1" t="s">
        <v>20</v>
      </c>
      <c r="C475">
        <v>49</v>
      </c>
      <c r="D475" s="1" t="s">
        <v>14</v>
      </c>
      <c r="E475" s="1" t="s">
        <v>15</v>
      </c>
      <c r="F475" s="1" t="s">
        <v>16</v>
      </c>
      <c r="G475" s="2">
        <v>45093</v>
      </c>
      <c r="H475">
        <v>12</v>
      </c>
      <c r="I475">
        <v>18395</v>
      </c>
      <c r="J475" s="1" t="s">
        <v>24</v>
      </c>
      <c r="K475">
        <v>2023</v>
      </c>
      <c r="L475" t="s">
        <v>40</v>
      </c>
      <c r="M475" t="s">
        <v>38</v>
      </c>
      <c r="N475">
        <v>6</v>
      </c>
    </row>
    <row r="476" spans="1:14" x14ac:dyDescent="0.25">
      <c r="A476">
        <v>475</v>
      </c>
      <c r="B476" s="1" t="s">
        <v>13</v>
      </c>
      <c r="C476">
        <v>29</v>
      </c>
      <c r="D476" s="1" t="s">
        <v>21</v>
      </c>
      <c r="E476" s="1" t="s">
        <v>27</v>
      </c>
      <c r="F476" s="1" t="s">
        <v>16</v>
      </c>
      <c r="G476" s="2">
        <v>44970</v>
      </c>
      <c r="H476">
        <v>2</v>
      </c>
      <c r="I476">
        <v>4537</v>
      </c>
      <c r="J476" s="1" t="s">
        <v>24</v>
      </c>
      <c r="K476">
        <v>2023</v>
      </c>
      <c r="L476" t="s">
        <v>46</v>
      </c>
      <c r="M476" t="s">
        <v>29</v>
      </c>
      <c r="N476">
        <v>2</v>
      </c>
    </row>
    <row r="477" spans="1:14" x14ac:dyDescent="0.25">
      <c r="A477">
        <v>476</v>
      </c>
      <c r="B477" s="1" t="s">
        <v>20</v>
      </c>
      <c r="C477">
        <v>63</v>
      </c>
      <c r="D477" s="1" t="s">
        <v>37</v>
      </c>
      <c r="E477" s="1" t="s">
        <v>31</v>
      </c>
      <c r="F477" s="1" t="s">
        <v>16</v>
      </c>
      <c r="G477" s="2">
        <v>45184</v>
      </c>
      <c r="H477">
        <v>4</v>
      </c>
      <c r="I477">
        <v>21226</v>
      </c>
      <c r="J477" s="1" t="s">
        <v>24</v>
      </c>
      <c r="K477">
        <v>2023</v>
      </c>
      <c r="L477" t="s">
        <v>44</v>
      </c>
      <c r="M477" t="s">
        <v>19</v>
      </c>
      <c r="N477">
        <v>9</v>
      </c>
    </row>
    <row r="478" spans="1:14" x14ac:dyDescent="0.25">
      <c r="A478">
        <v>477</v>
      </c>
      <c r="B478" s="1" t="s">
        <v>13</v>
      </c>
      <c r="C478">
        <v>22</v>
      </c>
      <c r="D478" s="1" t="s">
        <v>34</v>
      </c>
      <c r="E478" s="1" t="s">
        <v>31</v>
      </c>
      <c r="F478" s="1" t="s">
        <v>23</v>
      </c>
      <c r="G478" s="2">
        <v>45263</v>
      </c>
      <c r="H478">
        <v>6</v>
      </c>
      <c r="I478">
        <v>17216</v>
      </c>
      <c r="J478" s="1" t="s">
        <v>39</v>
      </c>
      <c r="K478">
        <v>2023</v>
      </c>
      <c r="L478" t="s">
        <v>26</v>
      </c>
      <c r="M478" t="s">
        <v>29</v>
      </c>
      <c r="N478">
        <v>12</v>
      </c>
    </row>
    <row r="479" spans="1:14" x14ac:dyDescent="0.25">
      <c r="A479">
        <v>478</v>
      </c>
      <c r="B479" s="1" t="s">
        <v>20</v>
      </c>
      <c r="C479">
        <v>26</v>
      </c>
      <c r="D479" s="1" t="s">
        <v>21</v>
      </c>
      <c r="E479" s="1" t="s">
        <v>15</v>
      </c>
      <c r="F479" s="1" t="s">
        <v>32</v>
      </c>
      <c r="G479" s="2">
        <v>44954</v>
      </c>
      <c r="H479">
        <v>1</v>
      </c>
      <c r="I479">
        <v>20613</v>
      </c>
      <c r="J479" s="1" t="s">
        <v>24</v>
      </c>
      <c r="K479">
        <v>2023</v>
      </c>
      <c r="L479" t="s">
        <v>48</v>
      </c>
      <c r="M479" t="s">
        <v>29</v>
      </c>
      <c r="N479">
        <v>1</v>
      </c>
    </row>
    <row r="480" spans="1:14" x14ac:dyDescent="0.25">
      <c r="A480">
        <v>479</v>
      </c>
      <c r="B480" s="1" t="s">
        <v>13</v>
      </c>
      <c r="C480">
        <v>28</v>
      </c>
      <c r="D480" s="1" t="s">
        <v>45</v>
      </c>
      <c r="E480" s="1" t="s">
        <v>22</v>
      </c>
      <c r="F480" s="1" t="s">
        <v>32</v>
      </c>
      <c r="G480" s="2">
        <v>44943</v>
      </c>
      <c r="H480">
        <v>10</v>
      </c>
      <c r="I480">
        <v>5009</v>
      </c>
      <c r="J480" s="1" t="s">
        <v>24</v>
      </c>
      <c r="K480">
        <v>2023</v>
      </c>
      <c r="L480" t="s">
        <v>48</v>
      </c>
      <c r="M480" t="s">
        <v>29</v>
      </c>
      <c r="N480">
        <v>1</v>
      </c>
    </row>
    <row r="481" spans="1:14" x14ac:dyDescent="0.25">
      <c r="A481">
        <v>480</v>
      </c>
      <c r="B481" s="1" t="s">
        <v>20</v>
      </c>
      <c r="C481">
        <v>85</v>
      </c>
      <c r="D481" s="1" t="s">
        <v>34</v>
      </c>
      <c r="E481" s="1" t="s">
        <v>35</v>
      </c>
      <c r="F481" s="1" t="s">
        <v>16</v>
      </c>
      <c r="G481" s="2">
        <v>45019</v>
      </c>
      <c r="H481">
        <v>4</v>
      </c>
      <c r="I481">
        <v>26368</v>
      </c>
      <c r="J481" s="1" t="s">
        <v>39</v>
      </c>
      <c r="K481">
        <v>2023</v>
      </c>
      <c r="L481" t="s">
        <v>33</v>
      </c>
      <c r="M481" t="s">
        <v>19</v>
      </c>
      <c r="N481">
        <v>4</v>
      </c>
    </row>
    <row r="482" spans="1:14" x14ac:dyDescent="0.25">
      <c r="A482">
        <v>481</v>
      </c>
      <c r="B482" s="1" t="s">
        <v>20</v>
      </c>
      <c r="C482">
        <v>49</v>
      </c>
      <c r="D482" s="1" t="s">
        <v>14</v>
      </c>
      <c r="E482" s="1" t="s">
        <v>31</v>
      </c>
      <c r="F482" s="1" t="s">
        <v>16</v>
      </c>
      <c r="G482" s="2">
        <v>44958</v>
      </c>
      <c r="H482">
        <v>6</v>
      </c>
      <c r="I482">
        <v>31327</v>
      </c>
      <c r="J482" s="1" t="s">
        <v>24</v>
      </c>
      <c r="K482">
        <v>2023</v>
      </c>
      <c r="L482" t="s">
        <v>46</v>
      </c>
      <c r="M482" t="s">
        <v>38</v>
      </c>
      <c r="N482">
        <v>2</v>
      </c>
    </row>
    <row r="483" spans="1:14" x14ac:dyDescent="0.25">
      <c r="A483">
        <v>482</v>
      </c>
      <c r="B483" s="1" t="s">
        <v>20</v>
      </c>
      <c r="C483">
        <v>71</v>
      </c>
      <c r="D483" s="1" t="s">
        <v>45</v>
      </c>
      <c r="E483" s="1" t="s">
        <v>27</v>
      </c>
      <c r="F483" s="1" t="s">
        <v>32</v>
      </c>
      <c r="G483" s="2">
        <v>45166</v>
      </c>
      <c r="H483">
        <v>9</v>
      </c>
      <c r="I483">
        <v>16209</v>
      </c>
      <c r="J483" s="1" t="s">
        <v>24</v>
      </c>
      <c r="K483">
        <v>2023</v>
      </c>
      <c r="L483" t="s">
        <v>47</v>
      </c>
      <c r="M483" t="s">
        <v>19</v>
      </c>
      <c r="N483">
        <v>8</v>
      </c>
    </row>
    <row r="484" spans="1:14" x14ac:dyDescent="0.25">
      <c r="A484">
        <v>483</v>
      </c>
      <c r="B484" s="1" t="s">
        <v>13</v>
      </c>
      <c r="C484">
        <v>81</v>
      </c>
      <c r="D484" s="1" t="s">
        <v>45</v>
      </c>
      <c r="E484" s="1" t="s">
        <v>27</v>
      </c>
      <c r="F484" s="1" t="s">
        <v>23</v>
      </c>
      <c r="G484" s="2">
        <v>45000</v>
      </c>
      <c r="H484">
        <v>14</v>
      </c>
      <c r="I484">
        <v>17029</v>
      </c>
      <c r="J484" s="1" t="s">
        <v>24</v>
      </c>
      <c r="K484">
        <v>2023</v>
      </c>
      <c r="L484" t="s">
        <v>43</v>
      </c>
      <c r="M484" t="s">
        <v>19</v>
      </c>
      <c r="N484">
        <v>3</v>
      </c>
    </row>
    <row r="485" spans="1:14" x14ac:dyDescent="0.25">
      <c r="A485">
        <v>484</v>
      </c>
      <c r="B485" s="1" t="s">
        <v>20</v>
      </c>
      <c r="C485">
        <v>84</v>
      </c>
      <c r="D485" s="1" t="s">
        <v>30</v>
      </c>
      <c r="E485" s="1" t="s">
        <v>22</v>
      </c>
      <c r="F485" s="1" t="s">
        <v>28</v>
      </c>
      <c r="G485" s="2">
        <v>44985</v>
      </c>
      <c r="H485">
        <v>11</v>
      </c>
      <c r="I485">
        <v>4077</v>
      </c>
      <c r="J485" s="1" t="s">
        <v>24</v>
      </c>
      <c r="K485">
        <v>2023</v>
      </c>
      <c r="L485" t="s">
        <v>46</v>
      </c>
      <c r="M485" t="s">
        <v>19</v>
      </c>
      <c r="N485">
        <v>2</v>
      </c>
    </row>
    <row r="486" spans="1:14" x14ac:dyDescent="0.25">
      <c r="A486">
        <v>485</v>
      </c>
      <c r="B486" s="1" t="s">
        <v>13</v>
      </c>
      <c r="C486">
        <v>49</v>
      </c>
      <c r="D486" s="1" t="s">
        <v>37</v>
      </c>
      <c r="E486" s="1" t="s">
        <v>31</v>
      </c>
      <c r="F486" s="1" t="s">
        <v>28</v>
      </c>
      <c r="G486" s="2">
        <v>45186</v>
      </c>
      <c r="H486">
        <v>11</v>
      </c>
      <c r="I486">
        <v>15907</v>
      </c>
      <c r="J486" s="1" t="s">
        <v>39</v>
      </c>
      <c r="K486">
        <v>2023</v>
      </c>
      <c r="L486" t="s">
        <v>44</v>
      </c>
      <c r="M486" t="s">
        <v>38</v>
      </c>
      <c r="N486">
        <v>9</v>
      </c>
    </row>
    <row r="487" spans="1:14" x14ac:dyDescent="0.25">
      <c r="A487">
        <v>486</v>
      </c>
      <c r="B487" s="1" t="s">
        <v>20</v>
      </c>
      <c r="C487">
        <v>20</v>
      </c>
      <c r="D487" s="1" t="s">
        <v>34</v>
      </c>
      <c r="E487" s="1" t="s">
        <v>15</v>
      </c>
      <c r="F487" s="1" t="s">
        <v>32</v>
      </c>
      <c r="G487" s="2">
        <v>45110</v>
      </c>
      <c r="H487">
        <v>13</v>
      </c>
      <c r="I487">
        <v>38635</v>
      </c>
      <c r="J487" s="1" t="s">
        <v>24</v>
      </c>
      <c r="K487">
        <v>2023</v>
      </c>
      <c r="L487" t="s">
        <v>36</v>
      </c>
      <c r="M487" t="s">
        <v>29</v>
      </c>
      <c r="N487">
        <v>7</v>
      </c>
    </row>
    <row r="488" spans="1:14" x14ac:dyDescent="0.25">
      <c r="A488">
        <v>487</v>
      </c>
      <c r="B488" s="1" t="s">
        <v>13</v>
      </c>
      <c r="C488">
        <v>86</v>
      </c>
      <c r="D488" s="1" t="s">
        <v>45</v>
      </c>
      <c r="E488" s="1" t="s">
        <v>27</v>
      </c>
      <c r="F488" s="1" t="s">
        <v>16</v>
      </c>
      <c r="G488" s="2">
        <v>45287</v>
      </c>
      <c r="H488">
        <v>2</v>
      </c>
      <c r="I488">
        <v>6873</v>
      </c>
      <c r="J488" s="1" t="s">
        <v>24</v>
      </c>
      <c r="K488">
        <v>2023</v>
      </c>
      <c r="L488" t="s">
        <v>26</v>
      </c>
      <c r="M488" t="s">
        <v>19</v>
      </c>
      <c r="N488">
        <v>12</v>
      </c>
    </row>
    <row r="489" spans="1:14" x14ac:dyDescent="0.25">
      <c r="A489">
        <v>488</v>
      </c>
      <c r="B489" s="1" t="s">
        <v>20</v>
      </c>
      <c r="C489">
        <v>63</v>
      </c>
      <c r="D489" s="1" t="s">
        <v>30</v>
      </c>
      <c r="E489" s="1" t="s">
        <v>22</v>
      </c>
      <c r="F489" s="1" t="s">
        <v>16</v>
      </c>
      <c r="G489" s="2">
        <v>45014</v>
      </c>
      <c r="H489">
        <v>11</v>
      </c>
      <c r="I489">
        <v>10635</v>
      </c>
      <c r="J489" s="1" t="s">
        <v>24</v>
      </c>
      <c r="K489">
        <v>2023</v>
      </c>
      <c r="L489" t="s">
        <v>43</v>
      </c>
      <c r="M489" t="s">
        <v>19</v>
      </c>
      <c r="N489">
        <v>3</v>
      </c>
    </row>
    <row r="490" spans="1:14" x14ac:dyDescent="0.25">
      <c r="A490">
        <v>489</v>
      </c>
      <c r="B490" s="1" t="s">
        <v>13</v>
      </c>
      <c r="C490">
        <v>61</v>
      </c>
      <c r="D490" s="1" t="s">
        <v>14</v>
      </c>
      <c r="E490" s="1" t="s">
        <v>31</v>
      </c>
      <c r="F490" s="1" t="s">
        <v>23</v>
      </c>
      <c r="G490" s="2">
        <v>45277</v>
      </c>
      <c r="H490">
        <v>7</v>
      </c>
      <c r="I490">
        <v>35065</v>
      </c>
      <c r="J490" s="1" t="s">
        <v>24</v>
      </c>
      <c r="K490">
        <v>2023</v>
      </c>
      <c r="L490" t="s">
        <v>26</v>
      </c>
      <c r="M490" t="s">
        <v>19</v>
      </c>
      <c r="N490">
        <v>12</v>
      </c>
    </row>
    <row r="491" spans="1:14" x14ac:dyDescent="0.25">
      <c r="A491">
        <v>490</v>
      </c>
      <c r="B491" s="1" t="s">
        <v>13</v>
      </c>
      <c r="C491">
        <v>49</v>
      </c>
      <c r="D491" s="1" t="s">
        <v>21</v>
      </c>
      <c r="E491" s="1" t="s">
        <v>31</v>
      </c>
      <c r="F491" s="1" t="s">
        <v>28</v>
      </c>
      <c r="G491" s="2">
        <v>45049</v>
      </c>
      <c r="H491">
        <v>6</v>
      </c>
      <c r="I491">
        <v>47863</v>
      </c>
      <c r="J491" s="1" t="s">
        <v>39</v>
      </c>
      <c r="K491">
        <v>2023</v>
      </c>
      <c r="L491" t="s">
        <v>42</v>
      </c>
      <c r="M491" t="s">
        <v>38</v>
      </c>
      <c r="N491">
        <v>5</v>
      </c>
    </row>
    <row r="492" spans="1:14" x14ac:dyDescent="0.25">
      <c r="A492">
        <v>491</v>
      </c>
      <c r="B492" s="1" t="s">
        <v>20</v>
      </c>
      <c r="C492">
        <v>71</v>
      </c>
      <c r="D492" s="1" t="s">
        <v>34</v>
      </c>
      <c r="E492" s="1" t="s">
        <v>31</v>
      </c>
      <c r="F492" s="1" t="s">
        <v>23</v>
      </c>
      <c r="G492" s="2">
        <v>45009</v>
      </c>
      <c r="H492">
        <v>2</v>
      </c>
      <c r="I492">
        <v>43804</v>
      </c>
      <c r="J492" s="1" t="s">
        <v>39</v>
      </c>
      <c r="K492">
        <v>2023</v>
      </c>
      <c r="L492" t="s">
        <v>43</v>
      </c>
      <c r="M492" t="s">
        <v>19</v>
      </c>
      <c r="N492">
        <v>3</v>
      </c>
    </row>
    <row r="493" spans="1:14" x14ac:dyDescent="0.25">
      <c r="A493">
        <v>492</v>
      </c>
      <c r="B493" s="1" t="s">
        <v>13</v>
      </c>
      <c r="C493">
        <v>1</v>
      </c>
      <c r="D493" s="1" t="s">
        <v>45</v>
      </c>
      <c r="E493" s="1" t="s">
        <v>31</v>
      </c>
      <c r="F493" s="1" t="s">
        <v>28</v>
      </c>
      <c r="G493" s="2">
        <v>45116</v>
      </c>
      <c r="H493">
        <v>8</v>
      </c>
      <c r="I493">
        <v>35783</v>
      </c>
      <c r="J493" s="1" t="s">
        <v>24</v>
      </c>
      <c r="K493">
        <v>2023</v>
      </c>
      <c r="L493" t="s">
        <v>36</v>
      </c>
      <c r="M493" t="s">
        <v>25</v>
      </c>
      <c r="N493">
        <v>7</v>
      </c>
    </row>
    <row r="494" spans="1:14" x14ac:dyDescent="0.25">
      <c r="A494">
        <v>493</v>
      </c>
      <c r="B494" s="1" t="s">
        <v>13</v>
      </c>
      <c r="C494">
        <v>13</v>
      </c>
      <c r="D494" s="1" t="s">
        <v>37</v>
      </c>
      <c r="E494" s="1" t="s">
        <v>31</v>
      </c>
      <c r="F494" s="1" t="s">
        <v>32</v>
      </c>
      <c r="G494" s="2">
        <v>45224</v>
      </c>
      <c r="H494">
        <v>7</v>
      </c>
      <c r="I494">
        <v>36152</v>
      </c>
      <c r="J494" s="1" t="s">
        <v>24</v>
      </c>
      <c r="K494">
        <v>2023</v>
      </c>
      <c r="L494" t="s">
        <v>41</v>
      </c>
      <c r="M494" t="s">
        <v>25</v>
      </c>
      <c r="N494">
        <v>10</v>
      </c>
    </row>
    <row r="495" spans="1:14" x14ac:dyDescent="0.25">
      <c r="A495">
        <v>494</v>
      </c>
      <c r="B495" s="1" t="s">
        <v>20</v>
      </c>
      <c r="C495">
        <v>87</v>
      </c>
      <c r="D495" s="1" t="s">
        <v>30</v>
      </c>
      <c r="E495" s="1" t="s">
        <v>27</v>
      </c>
      <c r="F495" s="1" t="s">
        <v>28</v>
      </c>
      <c r="G495" s="2">
        <v>45091</v>
      </c>
      <c r="H495">
        <v>11</v>
      </c>
      <c r="I495">
        <v>43513</v>
      </c>
      <c r="J495" s="1" t="s">
        <v>24</v>
      </c>
      <c r="K495">
        <v>2023</v>
      </c>
      <c r="L495" t="s">
        <v>40</v>
      </c>
      <c r="M495" t="s">
        <v>19</v>
      </c>
      <c r="N495">
        <v>6</v>
      </c>
    </row>
    <row r="496" spans="1:14" x14ac:dyDescent="0.25">
      <c r="A496">
        <v>495</v>
      </c>
      <c r="B496" s="1" t="s">
        <v>13</v>
      </c>
      <c r="C496">
        <v>51</v>
      </c>
      <c r="D496" s="1" t="s">
        <v>45</v>
      </c>
      <c r="E496" s="1" t="s">
        <v>22</v>
      </c>
      <c r="F496" s="1" t="s">
        <v>23</v>
      </c>
      <c r="G496" s="2">
        <v>45186</v>
      </c>
      <c r="H496">
        <v>5</v>
      </c>
      <c r="I496">
        <v>31092</v>
      </c>
      <c r="J496" s="1" t="s">
        <v>39</v>
      </c>
      <c r="K496">
        <v>2023</v>
      </c>
      <c r="L496" t="s">
        <v>44</v>
      </c>
      <c r="M496" t="s">
        <v>38</v>
      </c>
      <c r="N496">
        <v>9</v>
      </c>
    </row>
    <row r="497" spans="1:14" x14ac:dyDescent="0.25">
      <c r="A497">
        <v>496</v>
      </c>
      <c r="B497" s="1" t="s">
        <v>13</v>
      </c>
      <c r="C497">
        <v>56</v>
      </c>
      <c r="D497" s="1" t="s">
        <v>37</v>
      </c>
      <c r="E497" s="1" t="s">
        <v>31</v>
      </c>
      <c r="F497" s="1" t="s">
        <v>23</v>
      </c>
      <c r="G497" s="2">
        <v>45226</v>
      </c>
      <c r="H497">
        <v>12</v>
      </c>
      <c r="I497">
        <v>19653</v>
      </c>
      <c r="J497" s="1" t="s">
        <v>24</v>
      </c>
      <c r="K497">
        <v>2023</v>
      </c>
      <c r="L497" t="s">
        <v>41</v>
      </c>
      <c r="M497" t="s">
        <v>38</v>
      </c>
      <c r="N497">
        <v>10</v>
      </c>
    </row>
    <row r="498" spans="1:14" x14ac:dyDescent="0.25">
      <c r="A498">
        <v>497</v>
      </c>
      <c r="B498" s="1" t="s">
        <v>13</v>
      </c>
      <c r="C498">
        <v>83</v>
      </c>
      <c r="D498" s="1" t="s">
        <v>45</v>
      </c>
      <c r="E498" s="1" t="s">
        <v>35</v>
      </c>
      <c r="F498" s="1" t="s">
        <v>23</v>
      </c>
      <c r="G498" s="2">
        <v>45122</v>
      </c>
      <c r="H498">
        <v>5</v>
      </c>
      <c r="I498">
        <v>34463</v>
      </c>
      <c r="J498" s="1" t="s">
        <v>24</v>
      </c>
      <c r="K498">
        <v>2023</v>
      </c>
      <c r="L498" t="s">
        <v>36</v>
      </c>
      <c r="M498" t="s">
        <v>19</v>
      </c>
      <c r="N498">
        <v>7</v>
      </c>
    </row>
    <row r="499" spans="1:14" x14ac:dyDescent="0.25">
      <c r="A499">
        <v>498</v>
      </c>
      <c r="B499" s="1" t="s">
        <v>20</v>
      </c>
      <c r="C499">
        <v>62</v>
      </c>
      <c r="D499" s="1" t="s">
        <v>34</v>
      </c>
      <c r="E499" s="1" t="s">
        <v>35</v>
      </c>
      <c r="F499" s="1" t="s">
        <v>32</v>
      </c>
      <c r="G499" s="2">
        <v>45197</v>
      </c>
      <c r="H499">
        <v>7</v>
      </c>
      <c r="I499">
        <v>36028</v>
      </c>
      <c r="J499" s="1" t="s">
        <v>24</v>
      </c>
      <c r="K499">
        <v>2023</v>
      </c>
      <c r="L499" t="s">
        <v>44</v>
      </c>
      <c r="M499" t="s">
        <v>19</v>
      </c>
      <c r="N499">
        <v>9</v>
      </c>
    </row>
    <row r="500" spans="1:14" x14ac:dyDescent="0.25">
      <c r="A500">
        <v>499</v>
      </c>
      <c r="B500" s="1" t="s">
        <v>13</v>
      </c>
      <c r="C500">
        <v>32</v>
      </c>
      <c r="D500" s="1" t="s">
        <v>34</v>
      </c>
      <c r="E500" s="1" t="s">
        <v>22</v>
      </c>
      <c r="F500" s="1" t="s">
        <v>28</v>
      </c>
      <c r="G500" s="2">
        <v>45080</v>
      </c>
      <c r="H500">
        <v>9</v>
      </c>
      <c r="I500">
        <v>42469</v>
      </c>
      <c r="J500" s="1" t="s">
        <v>24</v>
      </c>
      <c r="K500">
        <v>2023</v>
      </c>
      <c r="L500" t="s">
        <v>40</v>
      </c>
      <c r="M500" t="s">
        <v>29</v>
      </c>
      <c r="N500">
        <v>6</v>
      </c>
    </row>
    <row r="501" spans="1:14" x14ac:dyDescent="0.25">
      <c r="A501">
        <v>500</v>
      </c>
      <c r="B501" s="1" t="s">
        <v>20</v>
      </c>
      <c r="C501">
        <v>30</v>
      </c>
      <c r="D501" s="1" t="s">
        <v>34</v>
      </c>
      <c r="E501" s="1" t="s">
        <v>15</v>
      </c>
      <c r="F501" s="1" t="s">
        <v>28</v>
      </c>
      <c r="G501" s="2">
        <v>45131</v>
      </c>
      <c r="H501">
        <v>11</v>
      </c>
      <c r="I501">
        <v>22947</v>
      </c>
      <c r="J501" s="1" t="s">
        <v>24</v>
      </c>
      <c r="K501">
        <v>2023</v>
      </c>
      <c r="L501" t="s">
        <v>36</v>
      </c>
      <c r="M501" t="s">
        <v>29</v>
      </c>
      <c r="N501">
        <v>7</v>
      </c>
    </row>
    <row r="502" spans="1:14" x14ac:dyDescent="0.25">
      <c r="A502">
        <v>501</v>
      </c>
      <c r="B502" s="1" t="s">
        <v>13</v>
      </c>
      <c r="C502">
        <v>29</v>
      </c>
      <c r="D502" s="1" t="s">
        <v>14</v>
      </c>
      <c r="E502" s="1" t="s">
        <v>15</v>
      </c>
      <c r="F502" s="1" t="s">
        <v>23</v>
      </c>
      <c r="G502" s="2">
        <v>45023</v>
      </c>
      <c r="H502">
        <v>9</v>
      </c>
      <c r="I502">
        <v>31978</v>
      </c>
      <c r="J502" s="1" t="s">
        <v>24</v>
      </c>
      <c r="K502">
        <v>2023</v>
      </c>
      <c r="L502" t="s">
        <v>33</v>
      </c>
      <c r="M502" t="s">
        <v>29</v>
      </c>
      <c r="N502">
        <v>4</v>
      </c>
    </row>
    <row r="503" spans="1:14" x14ac:dyDescent="0.25">
      <c r="A503">
        <v>502</v>
      </c>
      <c r="B503" s="1" t="s">
        <v>13</v>
      </c>
      <c r="C503">
        <v>49</v>
      </c>
      <c r="D503" s="1" t="s">
        <v>14</v>
      </c>
      <c r="E503" s="1" t="s">
        <v>15</v>
      </c>
      <c r="F503" s="1" t="s">
        <v>28</v>
      </c>
      <c r="G503" s="2">
        <v>45197</v>
      </c>
      <c r="H503">
        <v>9</v>
      </c>
      <c r="I503">
        <v>24056</v>
      </c>
      <c r="J503" s="1" t="s">
        <v>24</v>
      </c>
      <c r="K503">
        <v>2023</v>
      </c>
      <c r="L503" t="s">
        <v>44</v>
      </c>
      <c r="M503" t="s">
        <v>38</v>
      </c>
      <c r="N503">
        <v>9</v>
      </c>
    </row>
    <row r="504" spans="1:14" x14ac:dyDescent="0.25">
      <c r="A504">
        <v>503</v>
      </c>
      <c r="B504" s="1" t="s">
        <v>13</v>
      </c>
      <c r="C504">
        <v>45</v>
      </c>
      <c r="D504" s="1" t="s">
        <v>30</v>
      </c>
      <c r="E504" s="1" t="s">
        <v>35</v>
      </c>
      <c r="F504" s="1" t="s">
        <v>16</v>
      </c>
      <c r="G504" s="2">
        <v>45075</v>
      </c>
      <c r="H504">
        <v>6</v>
      </c>
      <c r="I504">
        <v>31007</v>
      </c>
      <c r="J504" s="1" t="s">
        <v>24</v>
      </c>
      <c r="K504">
        <v>2023</v>
      </c>
      <c r="L504" t="s">
        <v>42</v>
      </c>
      <c r="M504" t="s">
        <v>38</v>
      </c>
      <c r="N504">
        <v>5</v>
      </c>
    </row>
    <row r="505" spans="1:14" x14ac:dyDescent="0.25">
      <c r="A505">
        <v>504</v>
      </c>
      <c r="B505" s="1" t="s">
        <v>20</v>
      </c>
      <c r="C505">
        <v>30</v>
      </c>
      <c r="D505" s="1" t="s">
        <v>34</v>
      </c>
      <c r="E505" s="1" t="s">
        <v>15</v>
      </c>
      <c r="F505" s="1" t="s">
        <v>16</v>
      </c>
      <c r="G505" s="2">
        <v>45216</v>
      </c>
      <c r="H505">
        <v>10</v>
      </c>
      <c r="I505">
        <v>45169</v>
      </c>
      <c r="J505" s="1" t="s">
        <v>24</v>
      </c>
      <c r="K505">
        <v>2023</v>
      </c>
      <c r="L505" t="s">
        <v>41</v>
      </c>
      <c r="M505" t="s">
        <v>29</v>
      </c>
      <c r="N505">
        <v>10</v>
      </c>
    </row>
    <row r="506" spans="1:14" x14ac:dyDescent="0.25">
      <c r="A506">
        <v>505</v>
      </c>
      <c r="B506" s="1" t="s">
        <v>13</v>
      </c>
      <c r="C506">
        <v>16</v>
      </c>
      <c r="D506" s="1" t="s">
        <v>37</v>
      </c>
      <c r="E506" s="1" t="s">
        <v>27</v>
      </c>
      <c r="F506" s="1" t="s">
        <v>16</v>
      </c>
      <c r="G506" s="2">
        <v>44960</v>
      </c>
      <c r="H506">
        <v>6</v>
      </c>
      <c r="I506">
        <v>46632</v>
      </c>
      <c r="J506" s="1" t="s">
        <v>39</v>
      </c>
      <c r="K506">
        <v>2023</v>
      </c>
      <c r="L506" t="s">
        <v>46</v>
      </c>
      <c r="M506" t="s">
        <v>25</v>
      </c>
      <c r="N506">
        <v>2</v>
      </c>
    </row>
    <row r="507" spans="1:14" x14ac:dyDescent="0.25">
      <c r="A507">
        <v>506</v>
      </c>
      <c r="B507" s="1" t="s">
        <v>13</v>
      </c>
      <c r="C507">
        <v>40</v>
      </c>
      <c r="D507" s="1" t="s">
        <v>45</v>
      </c>
      <c r="E507" s="1" t="s">
        <v>31</v>
      </c>
      <c r="F507" s="1" t="s">
        <v>28</v>
      </c>
      <c r="G507" s="2">
        <v>45214</v>
      </c>
      <c r="H507">
        <v>3</v>
      </c>
      <c r="I507">
        <v>7543</v>
      </c>
      <c r="J507" s="1" t="s">
        <v>24</v>
      </c>
      <c r="K507">
        <v>2023</v>
      </c>
      <c r="L507" t="s">
        <v>41</v>
      </c>
      <c r="M507" t="s">
        <v>38</v>
      </c>
      <c r="N507">
        <v>10</v>
      </c>
    </row>
    <row r="508" spans="1:14" x14ac:dyDescent="0.25">
      <c r="A508">
        <v>507</v>
      </c>
      <c r="B508" s="1" t="s">
        <v>20</v>
      </c>
      <c r="C508">
        <v>19</v>
      </c>
      <c r="D508" s="1" t="s">
        <v>21</v>
      </c>
      <c r="E508" s="1" t="s">
        <v>35</v>
      </c>
      <c r="F508" s="1" t="s">
        <v>32</v>
      </c>
      <c r="G508" s="2">
        <v>45136</v>
      </c>
      <c r="H508">
        <v>1</v>
      </c>
      <c r="I508">
        <v>23067</v>
      </c>
      <c r="J508" s="1" t="s">
        <v>24</v>
      </c>
      <c r="K508">
        <v>2023</v>
      </c>
      <c r="L508" t="s">
        <v>36</v>
      </c>
      <c r="M508" t="s">
        <v>29</v>
      </c>
      <c r="N508">
        <v>7</v>
      </c>
    </row>
    <row r="509" spans="1:14" x14ac:dyDescent="0.25">
      <c r="A509">
        <v>508</v>
      </c>
      <c r="B509" s="1" t="s">
        <v>13</v>
      </c>
      <c r="C509">
        <v>18</v>
      </c>
      <c r="D509" s="1" t="s">
        <v>37</v>
      </c>
      <c r="E509" s="1" t="s">
        <v>22</v>
      </c>
      <c r="F509" s="1" t="s">
        <v>32</v>
      </c>
      <c r="G509" s="2">
        <v>45067</v>
      </c>
      <c r="H509">
        <v>7</v>
      </c>
      <c r="I509">
        <v>47256</v>
      </c>
      <c r="J509" s="1" t="s">
        <v>24</v>
      </c>
      <c r="K509">
        <v>2023</v>
      </c>
      <c r="L509" t="s">
        <v>42</v>
      </c>
      <c r="M509" t="s">
        <v>29</v>
      </c>
      <c r="N509">
        <v>5</v>
      </c>
    </row>
    <row r="510" spans="1:14" x14ac:dyDescent="0.25">
      <c r="A510">
        <v>509</v>
      </c>
      <c r="B510" s="1" t="s">
        <v>20</v>
      </c>
      <c r="C510">
        <v>1</v>
      </c>
      <c r="D510" s="1" t="s">
        <v>14</v>
      </c>
      <c r="E510" s="1" t="s">
        <v>22</v>
      </c>
      <c r="F510" s="1" t="s">
        <v>32</v>
      </c>
      <c r="G510" s="2">
        <v>45137</v>
      </c>
      <c r="H510">
        <v>4</v>
      </c>
      <c r="I510">
        <v>27097</v>
      </c>
      <c r="J510" s="1" t="s">
        <v>24</v>
      </c>
      <c r="K510">
        <v>2023</v>
      </c>
      <c r="L510" t="s">
        <v>36</v>
      </c>
      <c r="M510" t="s">
        <v>25</v>
      </c>
      <c r="N510">
        <v>7</v>
      </c>
    </row>
    <row r="511" spans="1:14" x14ac:dyDescent="0.25">
      <c r="A511">
        <v>510</v>
      </c>
      <c r="B511" s="1" t="s">
        <v>20</v>
      </c>
      <c r="C511">
        <v>78</v>
      </c>
      <c r="D511" s="1" t="s">
        <v>14</v>
      </c>
      <c r="E511" s="1" t="s">
        <v>31</v>
      </c>
      <c r="F511" s="1" t="s">
        <v>32</v>
      </c>
      <c r="G511" s="2">
        <v>45037</v>
      </c>
      <c r="H511">
        <v>1</v>
      </c>
      <c r="I511">
        <v>44847</v>
      </c>
      <c r="J511" s="1" t="s">
        <v>24</v>
      </c>
      <c r="K511">
        <v>2023</v>
      </c>
      <c r="L511" t="s">
        <v>33</v>
      </c>
      <c r="M511" t="s">
        <v>19</v>
      </c>
      <c r="N511">
        <v>4</v>
      </c>
    </row>
    <row r="512" spans="1:14" x14ac:dyDescent="0.25">
      <c r="A512">
        <v>511</v>
      </c>
      <c r="B512" s="1" t="s">
        <v>13</v>
      </c>
      <c r="C512">
        <v>47</v>
      </c>
      <c r="D512" s="1" t="s">
        <v>37</v>
      </c>
      <c r="E512" s="1" t="s">
        <v>35</v>
      </c>
      <c r="F512" s="1" t="s">
        <v>16</v>
      </c>
      <c r="G512" s="2">
        <v>45065</v>
      </c>
      <c r="H512">
        <v>8</v>
      </c>
      <c r="I512">
        <v>45512</v>
      </c>
      <c r="J512" s="1" t="s">
        <v>39</v>
      </c>
      <c r="K512">
        <v>2023</v>
      </c>
      <c r="L512" t="s">
        <v>42</v>
      </c>
      <c r="M512" t="s">
        <v>38</v>
      </c>
      <c r="N512">
        <v>5</v>
      </c>
    </row>
    <row r="513" spans="1:14" x14ac:dyDescent="0.25">
      <c r="A513">
        <v>512</v>
      </c>
      <c r="B513" s="1" t="s">
        <v>20</v>
      </c>
      <c r="C513">
        <v>66</v>
      </c>
      <c r="D513" s="1" t="s">
        <v>14</v>
      </c>
      <c r="E513" s="1" t="s">
        <v>15</v>
      </c>
      <c r="F513" s="1" t="s">
        <v>16</v>
      </c>
      <c r="G513" s="2">
        <v>45073</v>
      </c>
      <c r="H513">
        <v>12</v>
      </c>
      <c r="I513">
        <v>5809</v>
      </c>
      <c r="J513" s="1" t="s">
        <v>24</v>
      </c>
      <c r="K513">
        <v>2023</v>
      </c>
      <c r="L513" t="s">
        <v>42</v>
      </c>
      <c r="M513" t="s">
        <v>19</v>
      </c>
      <c r="N513">
        <v>5</v>
      </c>
    </row>
    <row r="514" spans="1:14" x14ac:dyDescent="0.25">
      <c r="A514">
        <v>513</v>
      </c>
      <c r="B514" s="1" t="s">
        <v>13</v>
      </c>
      <c r="C514">
        <v>38</v>
      </c>
      <c r="D514" s="1" t="s">
        <v>34</v>
      </c>
      <c r="E514" s="1" t="s">
        <v>15</v>
      </c>
      <c r="F514" s="1" t="s">
        <v>23</v>
      </c>
      <c r="G514" s="2">
        <v>45075</v>
      </c>
      <c r="H514">
        <v>6</v>
      </c>
      <c r="I514">
        <v>24191</v>
      </c>
      <c r="J514" s="1" t="s">
        <v>17</v>
      </c>
      <c r="K514">
        <v>2023</v>
      </c>
      <c r="L514" t="s">
        <v>42</v>
      </c>
      <c r="M514" t="s">
        <v>29</v>
      </c>
      <c r="N514">
        <v>5</v>
      </c>
    </row>
    <row r="515" spans="1:14" x14ac:dyDescent="0.25">
      <c r="A515">
        <v>514</v>
      </c>
      <c r="B515" s="1" t="s">
        <v>20</v>
      </c>
      <c r="C515">
        <v>51</v>
      </c>
      <c r="D515" s="1" t="s">
        <v>30</v>
      </c>
      <c r="E515" s="1" t="s">
        <v>27</v>
      </c>
      <c r="F515" s="1" t="s">
        <v>28</v>
      </c>
      <c r="G515" s="2">
        <v>45189</v>
      </c>
      <c r="H515">
        <v>6</v>
      </c>
      <c r="I515">
        <v>23267</v>
      </c>
      <c r="J515" s="1" t="s">
        <v>24</v>
      </c>
      <c r="K515">
        <v>2023</v>
      </c>
      <c r="L515" t="s">
        <v>44</v>
      </c>
      <c r="M515" t="s">
        <v>38</v>
      </c>
      <c r="N515">
        <v>9</v>
      </c>
    </row>
    <row r="516" spans="1:14" x14ac:dyDescent="0.25">
      <c r="A516">
        <v>515</v>
      </c>
      <c r="B516" s="1" t="s">
        <v>20</v>
      </c>
      <c r="C516">
        <v>63</v>
      </c>
      <c r="D516" s="1" t="s">
        <v>45</v>
      </c>
      <c r="E516" s="1" t="s">
        <v>27</v>
      </c>
      <c r="F516" s="1" t="s">
        <v>28</v>
      </c>
      <c r="G516" s="2">
        <v>45081</v>
      </c>
      <c r="H516">
        <v>2</v>
      </c>
      <c r="I516">
        <v>9206</v>
      </c>
      <c r="J516" s="1" t="s">
        <v>24</v>
      </c>
      <c r="K516">
        <v>2023</v>
      </c>
      <c r="L516" t="s">
        <v>40</v>
      </c>
      <c r="M516" t="s">
        <v>19</v>
      </c>
      <c r="N516">
        <v>6</v>
      </c>
    </row>
    <row r="517" spans="1:14" x14ac:dyDescent="0.25">
      <c r="A517">
        <v>516</v>
      </c>
      <c r="B517" s="1" t="s">
        <v>13</v>
      </c>
      <c r="C517">
        <v>4</v>
      </c>
      <c r="D517" s="1" t="s">
        <v>30</v>
      </c>
      <c r="E517" s="1" t="s">
        <v>15</v>
      </c>
      <c r="F517" s="1" t="s">
        <v>32</v>
      </c>
      <c r="G517" s="2">
        <v>44938</v>
      </c>
      <c r="H517">
        <v>1</v>
      </c>
      <c r="I517">
        <v>23057</v>
      </c>
      <c r="J517" s="1" t="s">
        <v>24</v>
      </c>
      <c r="K517">
        <v>2023</v>
      </c>
      <c r="L517" t="s">
        <v>48</v>
      </c>
      <c r="M517" t="s">
        <v>25</v>
      </c>
      <c r="N517">
        <v>1</v>
      </c>
    </row>
    <row r="518" spans="1:14" x14ac:dyDescent="0.25">
      <c r="A518">
        <v>517</v>
      </c>
      <c r="B518" s="1" t="s">
        <v>20</v>
      </c>
      <c r="C518">
        <v>1</v>
      </c>
      <c r="D518" s="1" t="s">
        <v>45</v>
      </c>
      <c r="E518" s="1" t="s">
        <v>22</v>
      </c>
      <c r="F518" s="1" t="s">
        <v>16</v>
      </c>
      <c r="G518" s="2">
        <v>45208</v>
      </c>
      <c r="H518">
        <v>13</v>
      </c>
      <c r="I518">
        <v>30992</v>
      </c>
      <c r="J518" s="1" t="s">
        <v>24</v>
      </c>
      <c r="K518">
        <v>2023</v>
      </c>
      <c r="L518" t="s">
        <v>41</v>
      </c>
      <c r="M518" t="s">
        <v>25</v>
      </c>
      <c r="N518">
        <v>10</v>
      </c>
    </row>
    <row r="519" spans="1:14" x14ac:dyDescent="0.25">
      <c r="A519">
        <v>518</v>
      </c>
      <c r="B519" s="1" t="s">
        <v>20</v>
      </c>
      <c r="C519">
        <v>8</v>
      </c>
      <c r="D519" s="1" t="s">
        <v>45</v>
      </c>
      <c r="E519" s="1" t="s">
        <v>22</v>
      </c>
      <c r="F519" s="1" t="s">
        <v>32</v>
      </c>
      <c r="G519" s="2">
        <v>45269</v>
      </c>
      <c r="H519">
        <v>14</v>
      </c>
      <c r="I519">
        <v>48514</v>
      </c>
      <c r="J519" s="1" t="s">
        <v>39</v>
      </c>
      <c r="K519">
        <v>2023</v>
      </c>
      <c r="L519" t="s">
        <v>26</v>
      </c>
      <c r="M519" t="s">
        <v>25</v>
      </c>
      <c r="N519">
        <v>12</v>
      </c>
    </row>
    <row r="520" spans="1:14" x14ac:dyDescent="0.25">
      <c r="A520">
        <v>519</v>
      </c>
      <c r="B520" s="1" t="s">
        <v>20</v>
      </c>
      <c r="C520">
        <v>29</v>
      </c>
      <c r="D520" s="1" t="s">
        <v>30</v>
      </c>
      <c r="E520" s="1" t="s">
        <v>27</v>
      </c>
      <c r="F520" s="1" t="s">
        <v>23</v>
      </c>
      <c r="G520" s="2">
        <v>45040</v>
      </c>
      <c r="H520">
        <v>14</v>
      </c>
      <c r="I520">
        <v>17995</v>
      </c>
      <c r="J520" s="1" t="s">
        <v>39</v>
      </c>
      <c r="K520">
        <v>2023</v>
      </c>
      <c r="L520" t="s">
        <v>33</v>
      </c>
      <c r="M520" t="s">
        <v>29</v>
      </c>
      <c r="N520">
        <v>4</v>
      </c>
    </row>
    <row r="521" spans="1:14" x14ac:dyDescent="0.25">
      <c r="A521">
        <v>520</v>
      </c>
      <c r="B521" s="1" t="s">
        <v>20</v>
      </c>
      <c r="C521">
        <v>55</v>
      </c>
      <c r="D521" s="1" t="s">
        <v>37</v>
      </c>
      <c r="E521" s="1" t="s">
        <v>31</v>
      </c>
      <c r="F521" s="1" t="s">
        <v>28</v>
      </c>
      <c r="G521" s="2">
        <v>45245</v>
      </c>
      <c r="H521">
        <v>2</v>
      </c>
      <c r="I521">
        <v>46439</v>
      </c>
      <c r="J521" s="1" t="s">
        <v>39</v>
      </c>
      <c r="K521">
        <v>2023</v>
      </c>
      <c r="L521" t="s">
        <v>18</v>
      </c>
      <c r="M521" t="s">
        <v>38</v>
      </c>
      <c r="N521">
        <v>11</v>
      </c>
    </row>
    <row r="522" spans="1:14" x14ac:dyDescent="0.25">
      <c r="A522">
        <v>521</v>
      </c>
      <c r="B522" s="1" t="s">
        <v>20</v>
      </c>
      <c r="C522">
        <v>3</v>
      </c>
      <c r="D522" s="1" t="s">
        <v>45</v>
      </c>
      <c r="E522" s="1" t="s">
        <v>15</v>
      </c>
      <c r="F522" s="1" t="s">
        <v>28</v>
      </c>
      <c r="G522" s="2">
        <v>44945</v>
      </c>
      <c r="H522">
        <v>4</v>
      </c>
      <c r="I522">
        <v>15210</v>
      </c>
      <c r="J522" s="1" t="s">
        <v>17</v>
      </c>
      <c r="K522">
        <v>2023</v>
      </c>
      <c r="L522" t="s">
        <v>48</v>
      </c>
      <c r="M522" t="s">
        <v>25</v>
      </c>
      <c r="N522">
        <v>1</v>
      </c>
    </row>
    <row r="523" spans="1:14" x14ac:dyDescent="0.25">
      <c r="A523">
        <v>522</v>
      </c>
      <c r="B523" s="1" t="s">
        <v>13</v>
      </c>
      <c r="C523">
        <v>32</v>
      </c>
      <c r="D523" s="1" t="s">
        <v>30</v>
      </c>
      <c r="E523" s="1" t="s">
        <v>27</v>
      </c>
      <c r="F523" s="1" t="s">
        <v>32</v>
      </c>
      <c r="G523" s="2">
        <v>45087</v>
      </c>
      <c r="H523">
        <v>2</v>
      </c>
      <c r="I523">
        <v>19793</v>
      </c>
      <c r="J523" s="1" t="s">
        <v>39</v>
      </c>
      <c r="K523">
        <v>2023</v>
      </c>
      <c r="L523" t="s">
        <v>40</v>
      </c>
      <c r="M523" t="s">
        <v>29</v>
      </c>
      <c r="N523">
        <v>6</v>
      </c>
    </row>
    <row r="524" spans="1:14" x14ac:dyDescent="0.25">
      <c r="A524">
        <v>523</v>
      </c>
      <c r="B524" s="1" t="s">
        <v>20</v>
      </c>
      <c r="C524">
        <v>10</v>
      </c>
      <c r="D524" s="1" t="s">
        <v>45</v>
      </c>
      <c r="E524" s="1" t="s">
        <v>27</v>
      </c>
      <c r="F524" s="1" t="s">
        <v>23</v>
      </c>
      <c r="G524" s="2">
        <v>45201</v>
      </c>
      <c r="H524">
        <v>1</v>
      </c>
      <c r="I524">
        <v>28270</v>
      </c>
      <c r="J524" s="1" t="s">
        <v>24</v>
      </c>
      <c r="K524">
        <v>2023</v>
      </c>
      <c r="L524" t="s">
        <v>41</v>
      </c>
      <c r="M524" t="s">
        <v>25</v>
      </c>
      <c r="N524">
        <v>10</v>
      </c>
    </row>
    <row r="525" spans="1:14" x14ac:dyDescent="0.25">
      <c r="A525">
        <v>524</v>
      </c>
      <c r="B525" s="1" t="s">
        <v>13</v>
      </c>
      <c r="C525">
        <v>74</v>
      </c>
      <c r="D525" s="1" t="s">
        <v>21</v>
      </c>
      <c r="E525" s="1" t="s">
        <v>15</v>
      </c>
      <c r="F525" s="1" t="s">
        <v>28</v>
      </c>
      <c r="G525" s="2">
        <v>45075</v>
      </c>
      <c r="H525">
        <v>7</v>
      </c>
      <c r="I525">
        <v>7197</v>
      </c>
      <c r="J525" s="1" t="s">
        <v>24</v>
      </c>
      <c r="K525">
        <v>2023</v>
      </c>
      <c r="L525" t="s">
        <v>42</v>
      </c>
      <c r="M525" t="s">
        <v>19</v>
      </c>
      <c r="N525">
        <v>5</v>
      </c>
    </row>
    <row r="526" spans="1:14" x14ac:dyDescent="0.25">
      <c r="A526">
        <v>525</v>
      </c>
      <c r="B526" s="1" t="s">
        <v>20</v>
      </c>
      <c r="C526">
        <v>83</v>
      </c>
      <c r="D526" s="1" t="s">
        <v>37</v>
      </c>
      <c r="E526" s="1" t="s">
        <v>15</v>
      </c>
      <c r="F526" s="1" t="s">
        <v>23</v>
      </c>
      <c r="G526" s="2">
        <v>45056</v>
      </c>
      <c r="H526">
        <v>11</v>
      </c>
      <c r="I526">
        <v>9452</v>
      </c>
      <c r="J526" s="1" t="s">
        <v>24</v>
      </c>
      <c r="K526">
        <v>2023</v>
      </c>
      <c r="L526" t="s">
        <v>42</v>
      </c>
      <c r="M526" t="s">
        <v>19</v>
      </c>
      <c r="N526">
        <v>5</v>
      </c>
    </row>
    <row r="527" spans="1:14" x14ac:dyDescent="0.25">
      <c r="A527">
        <v>526</v>
      </c>
      <c r="B527" s="1" t="s">
        <v>13</v>
      </c>
      <c r="C527">
        <v>34</v>
      </c>
      <c r="D527" s="1" t="s">
        <v>34</v>
      </c>
      <c r="E527" s="1" t="s">
        <v>22</v>
      </c>
      <c r="F527" s="1" t="s">
        <v>23</v>
      </c>
      <c r="G527" s="2">
        <v>45236</v>
      </c>
      <c r="H527">
        <v>11</v>
      </c>
      <c r="I527">
        <v>43486</v>
      </c>
      <c r="J527" s="1" t="s">
        <v>24</v>
      </c>
      <c r="K527">
        <v>2023</v>
      </c>
      <c r="L527" t="s">
        <v>18</v>
      </c>
      <c r="M527" t="s">
        <v>29</v>
      </c>
      <c r="N527">
        <v>11</v>
      </c>
    </row>
    <row r="528" spans="1:14" x14ac:dyDescent="0.25">
      <c r="A528">
        <v>527</v>
      </c>
      <c r="B528" s="1" t="s">
        <v>13</v>
      </c>
      <c r="C528">
        <v>87</v>
      </c>
      <c r="D528" s="1" t="s">
        <v>45</v>
      </c>
      <c r="E528" s="1" t="s">
        <v>31</v>
      </c>
      <c r="F528" s="1" t="s">
        <v>32</v>
      </c>
      <c r="G528" s="2">
        <v>45250</v>
      </c>
      <c r="H528">
        <v>12</v>
      </c>
      <c r="I528">
        <v>16859</v>
      </c>
      <c r="J528" s="1" t="s">
        <v>39</v>
      </c>
      <c r="K528">
        <v>2023</v>
      </c>
      <c r="L528" t="s">
        <v>18</v>
      </c>
      <c r="M528" t="s">
        <v>19</v>
      </c>
      <c r="N528">
        <v>11</v>
      </c>
    </row>
    <row r="529" spans="1:14" x14ac:dyDescent="0.25">
      <c r="A529">
        <v>528</v>
      </c>
      <c r="B529" s="1" t="s">
        <v>20</v>
      </c>
      <c r="C529">
        <v>55</v>
      </c>
      <c r="D529" s="1" t="s">
        <v>21</v>
      </c>
      <c r="E529" s="1" t="s">
        <v>31</v>
      </c>
      <c r="F529" s="1" t="s">
        <v>16</v>
      </c>
      <c r="G529" s="2">
        <v>45087</v>
      </c>
      <c r="H529">
        <v>8</v>
      </c>
      <c r="I529">
        <v>29236</v>
      </c>
      <c r="J529" s="1" t="s">
        <v>24</v>
      </c>
      <c r="K529">
        <v>2023</v>
      </c>
      <c r="L529" t="s">
        <v>40</v>
      </c>
      <c r="M529" t="s">
        <v>38</v>
      </c>
      <c r="N529">
        <v>6</v>
      </c>
    </row>
    <row r="530" spans="1:14" x14ac:dyDescent="0.25">
      <c r="A530">
        <v>529</v>
      </c>
      <c r="B530" s="1" t="s">
        <v>20</v>
      </c>
      <c r="C530">
        <v>32</v>
      </c>
      <c r="D530" s="1" t="s">
        <v>34</v>
      </c>
      <c r="E530" s="1" t="s">
        <v>15</v>
      </c>
      <c r="F530" s="1" t="s">
        <v>32</v>
      </c>
      <c r="G530" s="2">
        <v>45149</v>
      </c>
      <c r="H530">
        <v>6</v>
      </c>
      <c r="I530">
        <v>33899</v>
      </c>
      <c r="J530" s="1" t="s">
        <v>24</v>
      </c>
      <c r="K530">
        <v>2023</v>
      </c>
      <c r="L530" t="s">
        <v>47</v>
      </c>
      <c r="M530" t="s">
        <v>29</v>
      </c>
      <c r="N530">
        <v>8</v>
      </c>
    </row>
    <row r="531" spans="1:14" x14ac:dyDescent="0.25">
      <c r="A531">
        <v>530</v>
      </c>
      <c r="B531" s="1" t="s">
        <v>20</v>
      </c>
      <c r="C531">
        <v>50</v>
      </c>
      <c r="D531" s="1" t="s">
        <v>34</v>
      </c>
      <c r="E531" s="1" t="s">
        <v>35</v>
      </c>
      <c r="F531" s="1" t="s">
        <v>16</v>
      </c>
      <c r="G531" s="2">
        <v>45207</v>
      </c>
      <c r="H531">
        <v>4</v>
      </c>
      <c r="I531">
        <v>34083</v>
      </c>
      <c r="J531" s="1" t="s">
        <v>24</v>
      </c>
      <c r="K531">
        <v>2023</v>
      </c>
      <c r="L531" t="s">
        <v>41</v>
      </c>
      <c r="M531" t="s">
        <v>38</v>
      </c>
      <c r="N531">
        <v>10</v>
      </c>
    </row>
    <row r="532" spans="1:14" x14ac:dyDescent="0.25">
      <c r="A532">
        <v>531</v>
      </c>
      <c r="B532" s="1" t="s">
        <v>13</v>
      </c>
      <c r="C532">
        <v>7</v>
      </c>
      <c r="D532" s="1" t="s">
        <v>45</v>
      </c>
      <c r="E532" s="1" t="s">
        <v>27</v>
      </c>
      <c r="F532" s="1" t="s">
        <v>23</v>
      </c>
      <c r="G532" s="2">
        <v>45004</v>
      </c>
      <c r="H532">
        <v>14</v>
      </c>
      <c r="I532">
        <v>4172</v>
      </c>
      <c r="J532" s="1" t="s">
        <v>24</v>
      </c>
      <c r="K532">
        <v>2023</v>
      </c>
      <c r="L532" t="s">
        <v>43</v>
      </c>
      <c r="M532" t="s">
        <v>25</v>
      </c>
      <c r="N532">
        <v>3</v>
      </c>
    </row>
    <row r="533" spans="1:14" x14ac:dyDescent="0.25">
      <c r="A533">
        <v>532</v>
      </c>
      <c r="B533" s="1" t="s">
        <v>20</v>
      </c>
      <c r="C533">
        <v>8</v>
      </c>
      <c r="D533" s="1" t="s">
        <v>30</v>
      </c>
      <c r="E533" s="1" t="s">
        <v>27</v>
      </c>
      <c r="F533" s="1" t="s">
        <v>16</v>
      </c>
      <c r="G533" s="2">
        <v>45247</v>
      </c>
      <c r="H533">
        <v>6</v>
      </c>
      <c r="I533">
        <v>47926</v>
      </c>
      <c r="J533" s="1" t="s">
        <v>24</v>
      </c>
      <c r="K533">
        <v>2023</v>
      </c>
      <c r="L533" t="s">
        <v>18</v>
      </c>
      <c r="M533" t="s">
        <v>25</v>
      </c>
      <c r="N533">
        <v>11</v>
      </c>
    </row>
    <row r="534" spans="1:14" x14ac:dyDescent="0.25">
      <c r="A534">
        <v>533</v>
      </c>
      <c r="B534" s="1" t="s">
        <v>13</v>
      </c>
      <c r="C534">
        <v>65</v>
      </c>
      <c r="D534" s="1" t="s">
        <v>45</v>
      </c>
      <c r="E534" s="1" t="s">
        <v>15</v>
      </c>
      <c r="F534" s="1" t="s">
        <v>23</v>
      </c>
      <c r="G534" s="2">
        <v>45030</v>
      </c>
      <c r="H534">
        <v>3</v>
      </c>
      <c r="I534">
        <v>18663</v>
      </c>
      <c r="J534" s="1" t="s">
        <v>24</v>
      </c>
      <c r="K534">
        <v>2023</v>
      </c>
      <c r="L534" t="s">
        <v>33</v>
      </c>
      <c r="M534" t="s">
        <v>19</v>
      </c>
      <c r="N534">
        <v>4</v>
      </c>
    </row>
    <row r="535" spans="1:14" x14ac:dyDescent="0.25">
      <c r="A535">
        <v>534</v>
      </c>
      <c r="B535" s="1" t="s">
        <v>13</v>
      </c>
      <c r="C535">
        <v>57</v>
      </c>
      <c r="D535" s="1" t="s">
        <v>21</v>
      </c>
      <c r="E535" s="1" t="s">
        <v>35</v>
      </c>
      <c r="F535" s="1" t="s">
        <v>28</v>
      </c>
      <c r="G535" s="2">
        <v>44967</v>
      </c>
      <c r="H535">
        <v>12</v>
      </c>
      <c r="I535">
        <v>29540</v>
      </c>
      <c r="J535" s="1" t="s">
        <v>24</v>
      </c>
      <c r="K535">
        <v>2023</v>
      </c>
      <c r="L535" t="s">
        <v>46</v>
      </c>
      <c r="M535" t="s">
        <v>38</v>
      </c>
      <c r="N535">
        <v>2</v>
      </c>
    </row>
    <row r="536" spans="1:14" x14ac:dyDescent="0.25">
      <c r="A536">
        <v>535</v>
      </c>
      <c r="B536" s="1" t="s">
        <v>13</v>
      </c>
      <c r="C536">
        <v>67</v>
      </c>
      <c r="D536" s="1" t="s">
        <v>34</v>
      </c>
      <c r="E536" s="1" t="s">
        <v>22</v>
      </c>
      <c r="F536" s="1" t="s">
        <v>28</v>
      </c>
      <c r="G536" s="2">
        <v>45130</v>
      </c>
      <c r="H536">
        <v>8</v>
      </c>
      <c r="I536">
        <v>21053</v>
      </c>
      <c r="J536" s="1" t="s">
        <v>24</v>
      </c>
      <c r="K536">
        <v>2023</v>
      </c>
      <c r="L536" t="s">
        <v>36</v>
      </c>
      <c r="M536" t="s">
        <v>19</v>
      </c>
      <c r="N536">
        <v>7</v>
      </c>
    </row>
    <row r="537" spans="1:14" x14ac:dyDescent="0.25">
      <c r="A537">
        <v>536</v>
      </c>
      <c r="B537" s="1" t="s">
        <v>20</v>
      </c>
      <c r="C537">
        <v>88</v>
      </c>
      <c r="D537" s="1" t="s">
        <v>45</v>
      </c>
      <c r="E537" s="1" t="s">
        <v>15</v>
      </c>
      <c r="F537" s="1" t="s">
        <v>28</v>
      </c>
      <c r="G537" s="2">
        <v>45060</v>
      </c>
      <c r="H537">
        <v>10</v>
      </c>
      <c r="I537">
        <v>13085</v>
      </c>
      <c r="J537" s="1" t="s">
        <v>24</v>
      </c>
      <c r="K537">
        <v>2023</v>
      </c>
      <c r="L537" t="s">
        <v>42</v>
      </c>
      <c r="M537" t="s">
        <v>19</v>
      </c>
      <c r="N537">
        <v>5</v>
      </c>
    </row>
    <row r="538" spans="1:14" x14ac:dyDescent="0.25">
      <c r="A538">
        <v>537</v>
      </c>
      <c r="B538" s="1" t="s">
        <v>20</v>
      </c>
      <c r="C538">
        <v>87</v>
      </c>
      <c r="D538" s="1" t="s">
        <v>30</v>
      </c>
      <c r="E538" s="1" t="s">
        <v>15</v>
      </c>
      <c r="F538" s="1" t="s">
        <v>32</v>
      </c>
      <c r="G538" s="2">
        <v>45081</v>
      </c>
      <c r="H538">
        <v>14</v>
      </c>
      <c r="I538">
        <v>32564</v>
      </c>
      <c r="J538" s="1" t="s">
        <v>24</v>
      </c>
      <c r="K538">
        <v>2023</v>
      </c>
      <c r="L538" t="s">
        <v>40</v>
      </c>
      <c r="M538" t="s">
        <v>19</v>
      </c>
      <c r="N538">
        <v>6</v>
      </c>
    </row>
    <row r="539" spans="1:14" x14ac:dyDescent="0.25">
      <c r="A539">
        <v>538</v>
      </c>
      <c r="B539" s="1" t="s">
        <v>13</v>
      </c>
      <c r="C539">
        <v>59</v>
      </c>
      <c r="D539" s="1" t="s">
        <v>45</v>
      </c>
      <c r="E539" s="1" t="s">
        <v>27</v>
      </c>
      <c r="F539" s="1" t="s">
        <v>32</v>
      </c>
      <c r="G539" s="2">
        <v>44985</v>
      </c>
      <c r="H539">
        <v>13</v>
      </c>
      <c r="I539">
        <v>26209</v>
      </c>
      <c r="J539" s="1" t="s">
        <v>24</v>
      </c>
      <c r="K539">
        <v>2023</v>
      </c>
      <c r="L539" t="s">
        <v>46</v>
      </c>
      <c r="M539" t="s">
        <v>38</v>
      </c>
      <c r="N539">
        <v>2</v>
      </c>
    </row>
    <row r="540" spans="1:14" x14ac:dyDescent="0.25">
      <c r="A540">
        <v>539</v>
      </c>
      <c r="B540" s="1" t="s">
        <v>13</v>
      </c>
      <c r="C540">
        <v>72</v>
      </c>
      <c r="D540" s="1" t="s">
        <v>37</v>
      </c>
      <c r="E540" s="1" t="s">
        <v>15</v>
      </c>
      <c r="F540" s="1" t="s">
        <v>23</v>
      </c>
      <c r="G540" s="2">
        <v>45044</v>
      </c>
      <c r="H540">
        <v>13</v>
      </c>
      <c r="I540">
        <v>5981</v>
      </c>
      <c r="J540" s="1" t="s">
        <v>24</v>
      </c>
      <c r="K540">
        <v>2023</v>
      </c>
      <c r="L540" t="s">
        <v>33</v>
      </c>
      <c r="M540" t="s">
        <v>19</v>
      </c>
      <c r="N540">
        <v>4</v>
      </c>
    </row>
    <row r="541" spans="1:14" x14ac:dyDescent="0.25">
      <c r="A541">
        <v>540</v>
      </c>
      <c r="B541" s="1" t="s">
        <v>20</v>
      </c>
      <c r="C541">
        <v>54</v>
      </c>
      <c r="D541" s="1" t="s">
        <v>30</v>
      </c>
      <c r="E541" s="1" t="s">
        <v>15</v>
      </c>
      <c r="F541" s="1" t="s">
        <v>28</v>
      </c>
      <c r="G541" s="2">
        <v>45257</v>
      </c>
      <c r="H541">
        <v>2</v>
      </c>
      <c r="I541">
        <v>23153</v>
      </c>
      <c r="J541" s="1" t="s">
        <v>24</v>
      </c>
      <c r="K541">
        <v>2023</v>
      </c>
      <c r="L541" t="s">
        <v>18</v>
      </c>
      <c r="M541" t="s">
        <v>38</v>
      </c>
      <c r="N541">
        <v>11</v>
      </c>
    </row>
    <row r="542" spans="1:14" x14ac:dyDescent="0.25">
      <c r="A542">
        <v>541</v>
      </c>
      <c r="B542" s="1" t="s">
        <v>13</v>
      </c>
      <c r="C542">
        <v>67</v>
      </c>
      <c r="D542" s="1" t="s">
        <v>21</v>
      </c>
      <c r="E542" s="1" t="s">
        <v>15</v>
      </c>
      <c r="F542" s="1" t="s">
        <v>32</v>
      </c>
      <c r="G542" s="2">
        <v>45058</v>
      </c>
      <c r="H542">
        <v>5</v>
      </c>
      <c r="I542">
        <v>7247</v>
      </c>
      <c r="J542" s="1" t="s">
        <v>24</v>
      </c>
      <c r="K542">
        <v>2023</v>
      </c>
      <c r="L542" t="s">
        <v>42</v>
      </c>
      <c r="M542" t="s">
        <v>19</v>
      </c>
      <c r="N542">
        <v>5</v>
      </c>
    </row>
    <row r="543" spans="1:14" x14ac:dyDescent="0.25">
      <c r="A543">
        <v>542</v>
      </c>
      <c r="B543" s="1" t="s">
        <v>20</v>
      </c>
      <c r="C543">
        <v>51</v>
      </c>
      <c r="D543" s="1" t="s">
        <v>34</v>
      </c>
      <c r="E543" s="1" t="s">
        <v>27</v>
      </c>
      <c r="F543" s="1" t="s">
        <v>28</v>
      </c>
      <c r="G543" s="2">
        <v>45282</v>
      </c>
      <c r="H543">
        <v>1</v>
      </c>
      <c r="I543">
        <v>12553</v>
      </c>
      <c r="J543" s="1" t="s">
        <v>24</v>
      </c>
      <c r="K543">
        <v>2023</v>
      </c>
      <c r="L543" t="s">
        <v>26</v>
      </c>
      <c r="M543" t="s">
        <v>38</v>
      </c>
      <c r="N543">
        <v>12</v>
      </c>
    </row>
    <row r="544" spans="1:14" x14ac:dyDescent="0.25">
      <c r="A544">
        <v>543</v>
      </c>
      <c r="B544" s="1" t="s">
        <v>13</v>
      </c>
      <c r="C544">
        <v>8</v>
      </c>
      <c r="D544" s="1" t="s">
        <v>45</v>
      </c>
      <c r="E544" s="1" t="s">
        <v>22</v>
      </c>
      <c r="F544" s="1" t="s">
        <v>32</v>
      </c>
      <c r="G544" s="2">
        <v>45131</v>
      </c>
      <c r="H544">
        <v>6</v>
      </c>
      <c r="I544">
        <v>22811</v>
      </c>
      <c r="J544" s="1" t="s">
        <v>24</v>
      </c>
      <c r="K544">
        <v>2023</v>
      </c>
      <c r="L544" t="s">
        <v>36</v>
      </c>
      <c r="M544" t="s">
        <v>25</v>
      </c>
      <c r="N544">
        <v>7</v>
      </c>
    </row>
    <row r="545" spans="1:14" x14ac:dyDescent="0.25">
      <c r="A545">
        <v>544</v>
      </c>
      <c r="B545" s="1" t="s">
        <v>20</v>
      </c>
      <c r="C545">
        <v>34</v>
      </c>
      <c r="D545" s="1" t="s">
        <v>30</v>
      </c>
      <c r="E545" s="1" t="s">
        <v>22</v>
      </c>
      <c r="F545" s="1" t="s">
        <v>16</v>
      </c>
      <c r="G545" s="2">
        <v>45257</v>
      </c>
      <c r="H545">
        <v>2</v>
      </c>
      <c r="I545">
        <v>31845</v>
      </c>
      <c r="J545" s="1" t="s">
        <v>24</v>
      </c>
      <c r="K545">
        <v>2023</v>
      </c>
      <c r="L545" t="s">
        <v>18</v>
      </c>
      <c r="M545" t="s">
        <v>29</v>
      </c>
      <c r="N545">
        <v>11</v>
      </c>
    </row>
    <row r="546" spans="1:14" x14ac:dyDescent="0.25">
      <c r="A546">
        <v>545</v>
      </c>
      <c r="B546" s="1" t="s">
        <v>13</v>
      </c>
      <c r="C546">
        <v>35</v>
      </c>
      <c r="D546" s="1" t="s">
        <v>37</v>
      </c>
      <c r="E546" s="1" t="s">
        <v>15</v>
      </c>
      <c r="F546" s="1" t="s">
        <v>16</v>
      </c>
      <c r="G546" s="2">
        <v>45221</v>
      </c>
      <c r="H546">
        <v>4</v>
      </c>
      <c r="I546">
        <v>8135</v>
      </c>
      <c r="J546" s="1" t="s">
        <v>24</v>
      </c>
      <c r="K546">
        <v>2023</v>
      </c>
      <c r="L546" t="s">
        <v>41</v>
      </c>
      <c r="M546" t="s">
        <v>29</v>
      </c>
      <c r="N546">
        <v>10</v>
      </c>
    </row>
    <row r="547" spans="1:14" x14ac:dyDescent="0.25">
      <c r="A547">
        <v>546</v>
      </c>
      <c r="B547" s="1" t="s">
        <v>20</v>
      </c>
      <c r="C547">
        <v>88</v>
      </c>
      <c r="D547" s="1" t="s">
        <v>30</v>
      </c>
      <c r="E547" s="1" t="s">
        <v>27</v>
      </c>
      <c r="F547" s="1" t="s">
        <v>28</v>
      </c>
      <c r="G547" s="2">
        <v>44969</v>
      </c>
      <c r="H547">
        <v>6</v>
      </c>
      <c r="I547">
        <v>7573</v>
      </c>
      <c r="J547" s="1" t="s">
        <v>24</v>
      </c>
      <c r="K547">
        <v>2023</v>
      </c>
      <c r="L547" t="s">
        <v>46</v>
      </c>
      <c r="M547" t="s">
        <v>19</v>
      </c>
      <c r="N547">
        <v>2</v>
      </c>
    </row>
    <row r="548" spans="1:14" x14ac:dyDescent="0.25">
      <c r="A548">
        <v>547</v>
      </c>
      <c r="B548" s="1" t="s">
        <v>13</v>
      </c>
      <c r="C548">
        <v>78</v>
      </c>
      <c r="D548" s="1" t="s">
        <v>14</v>
      </c>
      <c r="E548" s="1" t="s">
        <v>22</v>
      </c>
      <c r="F548" s="1" t="s">
        <v>23</v>
      </c>
      <c r="G548" s="2">
        <v>45038</v>
      </c>
      <c r="H548">
        <v>10</v>
      </c>
      <c r="I548">
        <v>15731</v>
      </c>
      <c r="J548" s="1" t="s">
        <v>39</v>
      </c>
      <c r="K548">
        <v>2023</v>
      </c>
      <c r="L548" t="s">
        <v>33</v>
      </c>
      <c r="M548" t="s">
        <v>19</v>
      </c>
      <c r="N548">
        <v>4</v>
      </c>
    </row>
    <row r="549" spans="1:14" x14ac:dyDescent="0.25">
      <c r="A549">
        <v>548</v>
      </c>
      <c r="B549" s="1" t="s">
        <v>20</v>
      </c>
      <c r="C549">
        <v>32</v>
      </c>
      <c r="D549" s="1" t="s">
        <v>37</v>
      </c>
      <c r="E549" s="1" t="s">
        <v>22</v>
      </c>
      <c r="F549" s="1" t="s">
        <v>32</v>
      </c>
      <c r="G549" s="2">
        <v>44963</v>
      </c>
      <c r="H549">
        <v>11</v>
      </c>
      <c r="I549">
        <v>9189</v>
      </c>
      <c r="J549" s="1" t="s">
        <v>24</v>
      </c>
      <c r="K549">
        <v>2023</v>
      </c>
      <c r="L549" t="s">
        <v>46</v>
      </c>
      <c r="M549" t="s">
        <v>29</v>
      </c>
      <c r="N549">
        <v>2</v>
      </c>
    </row>
    <row r="550" spans="1:14" x14ac:dyDescent="0.25">
      <c r="A550">
        <v>549</v>
      </c>
      <c r="B550" s="1" t="s">
        <v>20</v>
      </c>
      <c r="C550">
        <v>46</v>
      </c>
      <c r="D550" s="1" t="s">
        <v>21</v>
      </c>
      <c r="E550" s="1" t="s">
        <v>22</v>
      </c>
      <c r="F550" s="1" t="s">
        <v>32</v>
      </c>
      <c r="G550" s="2">
        <v>45044</v>
      </c>
      <c r="H550">
        <v>8</v>
      </c>
      <c r="I550">
        <v>16541</v>
      </c>
      <c r="J550" s="1" t="s">
        <v>17</v>
      </c>
      <c r="K550">
        <v>2023</v>
      </c>
      <c r="L550" t="s">
        <v>33</v>
      </c>
      <c r="M550" t="s">
        <v>38</v>
      </c>
      <c r="N550">
        <v>4</v>
      </c>
    </row>
    <row r="551" spans="1:14" x14ac:dyDescent="0.25">
      <c r="A551">
        <v>550</v>
      </c>
      <c r="B551" s="1" t="s">
        <v>13</v>
      </c>
      <c r="C551">
        <v>16</v>
      </c>
      <c r="D551" s="1" t="s">
        <v>34</v>
      </c>
      <c r="E551" s="1" t="s">
        <v>27</v>
      </c>
      <c r="F551" s="1" t="s">
        <v>16</v>
      </c>
      <c r="G551" s="2">
        <v>45262</v>
      </c>
      <c r="H551">
        <v>12</v>
      </c>
      <c r="I551">
        <v>45646</v>
      </c>
      <c r="J551" s="1" t="s">
        <v>24</v>
      </c>
      <c r="K551">
        <v>2023</v>
      </c>
      <c r="L551" t="s">
        <v>26</v>
      </c>
      <c r="M551" t="s">
        <v>25</v>
      </c>
      <c r="N551">
        <v>12</v>
      </c>
    </row>
    <row r="552" spans="1:14" x14ac:dyDescent="0.25">
      <c r="A552">
        <v>551</v>
      </c>
      <c r="B552" s="1" t="s">
        <v>13</v>
      </c>
      <c r="C552">
        <v>68</v>
      </c>
      <c r="D552" s="1" t="s">
        <v>21</v>
      </c>
      <c r="E552" s="1" t="s">
        <v>27</v>
      </c>
      <c r="F552" s="1" t="s">
        <v>16</v>
      </c>
      <c r="G552" s="2">
        <v>44994</v>
      </c>
      <c r="H552">
        <v>8</v>
      </c>
      <c r="I552">
        <v>13087</v>
      </c>
      <c r="J552" s="1" t="s">
        <v>24</v>
      </c>
      <c r="K552">
        <v>2023</v>
      </c>
      <c r="L552" t="s">
        <v>43</v>
      </c>
      <c r="M552" t="s">
        <v>19</v>
      </c>
      <c r="N552">
        <v>3</v>
      </c>
    </row>
    <row r="553" spans="1:14" x14ac:dyDescent="0.25">
      <c r="A553">
        <v>552</v>
      </c>
      <c r="B553" s="1" t="s">
        <v>20</v>
      </c>
      <c r="C553">
        <v>37</v>
      </c>
      <c r="D553" s="1" t="s">
        <v>45</v>
      </c>
      <c r="E553" s="1" t="s">
        <v>15</v>
      </c>
      <c r="F553" s="1" t="s">
        <v>23</v>
      </c>
      <c r="G553" s="2">
        <v>45054</v>
      </c>
      <c r="H553">
        <v>11</v>
      </c>
      <c r="I553">
        <v>48435</v>
      </c>
      <c r="J553" s="1" t="s">
        <v>24</v>
      </c>
      <c r="K553">
        <v>2023</v>
      </c>
      <c r="L553" t="s">
        <v>42</v>
      </c>
      <c r="M553" t="s">
        <v>29</v>
      </c>
      <c r="N553">
        <v>5</v>
      </c>
    </row>
    <row r="554" spans="1:14" x14ac:dyDescent="0.25">
      <c r="A554">
        <v>553</v>
      </c>
      <c r="B554" s="1" t="s">
        <v>13</v>
      </c>
      <c r="C554">
        <v>54</v>
      </c>
      <c r="D554" s="1" t="s">
        <v>30</v>
      </c>
      <c r="E554" s="1" t="s">
        <v>31</v>
      </c>
      <c r="F554" s="1" t="s">
        <v>23</v>
      </c>
      <c r="G554" s="2">
        <v>45123</v>
      </c>
      <c r="H554">
        <v>6</v>
      </c>
      <c r="I554">
        <v>4776</v>
      </c>
      <c r="J554" s="1" t="s">
        <v>24</v>
      </c>
      <c r="K554">
        <v>2023</v>
      </c>
      <c r="L554" t="s">
        <v>36</v>
      </c>
      <c r="M554" t="s">
        <v>38</v>
      </c>
      <c r="N554">
        <v>7</v>
      </c>
    </row>
    <row r="555" spans="1:14" x14ac:dyDescent="0.25">
      <c r="A555">
        <v>554</v>
      </c>
      <c r="B555" s="1" t="s">
        <v>20</v>
      </c>
      <c r="C555">
        <v>85</v>
      </c>
      <c r="D555" s="1" t="s">
        <v>14</v>
      </c>
      <c r="E555" s="1" t="s">
        <v>22</v>
      </c>
      <c r="F555" s="1" t="s">
        <v>23</v>
      </c>
      <c r="G555" s="2">
        <v>45229</v>
      </c>
      <c r="H555">
        <v>4</v>
      </c>
      <c r="I555">
        <v>44079</v>
      </c>
      <c r="J555" s="1" t="s">
        <v>24</v>
      </c>
      <c r="K555">
        <v>2023</v>
      </c>
      <c r="L555" t="s">
        <v>41</v>
      </c>
      <c r="M555" t="s">
        <v>19</v>
      </c>
      <c r="N555">
        <v>10</v>
      </c>
    </row>
    <row r="556" spans="1:14" x14ac:dyDescent="0.25">
      <c r="A556">
        <v>555</v>
      </c>
      <c r="B556" s="1" t="s">
        <v>13</v>
      </c>
      <c r="C556">
        <v>14</v>
      </c>
      <c r="D556" s="1" t="s">
        <v>37</v>
      </c>
      <c r="E556" s="1" t="s">
        <v>31</v>
      </c>
      <c r="F556" s="1" t="s">
        <v>28</v>
      </c>
      <c r="G556" s="2">
        <v>45236</v>
      </c>
      <c r="H556">
        <v>8</v>
      </c>
      <c r="I556">
        <v>29564</v>
      </c>
      <c r="J556" s="1" t="s">
        <v>24</v>
      </c>
      <c r="K556">
        <v>2023</v>
      </c>
      <c r="L556" t="s">
        <v>18</v>
      </c>
      <c r="M556" t="s">
        <v>25</v>
      </c>
      <c r="N556">
        <v>11</v>
      </c>
    </row>
    <row r="557" spans="1:14" x14ac:dyDescent="0.25">
      <c r="A557">
        <v>556</v>
      </c>
      <c r="B557" s="1" t="s">
        <v>20</v>
      </c>
      <c r="C557">
        <v>55</v>
      </c>
      <c r="D557" s="1" t="s">
        <v>37</v>
      </c>
      <c r="E557" s="1" t="s">
        <v>27</v>
      </c>
      <c r="F557" s="1" t="s">
        <v>16</v>
      </c>
      <c r="G557" s="2">
        <v>45203</v>
      </c>
      <c r="H557">
        <v>13</v>
      </c>
      <c r="I557">
        <v>30835</v>
      </c>
      <c r="J557" s="1" t="s">
        <v>24</v>
      </c>
      <c r="K557">
        <v>2023</v>
      </c>
      <c r="L557" t="s">
        <v>41</v>
      </c>
      <c r="M557" t="s">
        <v>38</v>
      </c>
      <c r="N557">
        <v>10</v>
      </c>
    </row>
    <row r="558" spans="1:14" x14ac:dyDescent="0.25">
      <c r="A558">
        <v>557</v>
      </c>
      <c r="B558" s="1" t="s">
        <v>20</v>
      </c>
      <c r="C558">
        <v>48</v>
      </c>
      <c r="D558" s="1" t="s">
        <v>30</v>
      </c>
      <c r="E558" s="1" t="s">
        <v>27</v>
      </c>
      <c r="F558" s="1" t="s">
        <v>28</v>
      </c>
      <c r="G558" s="2">
        <v>44949</v>
      </c>
      <c r="H558">
        <v>8</v>
      </c>
      <c r="I558">
        <v>9697</v>
      </c>
      <c r="J558" s="1" t="s">
        <v>24</v>
      </c>
      <c r="K558">
        <v>2023</v>
      </c>
      <c r="L558" t="s">
        <v>48</v>
      </c>
      <c r="M558" t="s">
        <v>38</v>
      </c>
      <c r="N558">
        <v>1</v>
      </c>
    </row>
    <row r="559" spans="1:14" x14ac:dyDescent="0.25">
      <c r="A559">
        <v>558</v>
      </c>
      <c r="B559" s="1" t="s">
        <v>20</v>
      </c>
      <c r="C559">
        <v>82</v>
      </c>
      <c r="D559" s="1" t="s">
        <v>14</v>
      </c>
      <c r="E559" s="1" t="s">
        <v>27</v>
      </c>
      <c r="F559" s="1" t="s">
        <v>16</v>
      </c>
      <c r="G559" s="2">
        <v>45001</v>
      </c>
      <c r="H559">
        <v>10</v>
      </c>
      <c r="I559">
        <v>16629</v>
      </c>
      <c r="J559" s="1" t="s">
        <v>24</v>
      </c>
      <c r="K559">
        <v>2023</v>
      </c>
      <c r="L559" t="s">
        <v>43</v>
      </c>
      <c r="M559" t="s">
        <v>19</v>
      </c>
      <c r="N559">
        <v>3</v>
      </c>
    </row>
    <row r="560" spans="1:14" x14ac:dyDescent="0.25">
      <c r="A560">
        <v>559</v>
      </c>
      <c r="B560" s="1" t="s">
        <v>20</v>
      </c>
      <c r="C560">
        <v>7</v>
      </c>
      <c r="D560" s="1" t="s">
        <v>30</v>
      </c>
      <c r="E560" s="1" t="s">
        <v>31</v>
      </c>
      <c r="F560" s="1" t="s">
        <v>16</v>
      </c>
      <c r="G560" s="2">
        <v>45180</v>
      </c>
      <c r="H560">
        <v>14</v>
      </c>
      <c r="I560">
        <v>10386</v>
      </c>
      <c r="J560" s="1" t="s">
        <v>24</v>
      </c>
      <c r="K560">
        <v>2023</v>
      </c>
      <c r="L560" t="s">
        <v>44</v>
      </c>
      <c r="M560" t="s">
        <v>25</v>
      </c>
      <c r="N560">
        <v>9</v>
      </c>
    </row>
    <row r="561" spans="1:14" x14ac:dyDescent="0.25">
      <c r="A561">
        <v>560</v>
      </c>
      <c r="B561" s="1" t="s">
        <v>20</v>
      </c>
      <c r="C561">
        <v>74</v>
      </c>
      <c r="D561" s="1" t="s">
        <v>45</v>
      </c>
      <c r="E561" s="1" t="s">
        <v>27</v>
      </c>
      <c r="F561" s="1" t="s">
        <v>32</v>
      </c>
      <c r="G561" s="2">
        <v>44989</v>
      </c>
      <c r="H561">
        <v>1</v>
      </c>
      <c r="I561">
        <v>19046</v>
      </c>
      <c r="J561" s="1" t="s">
        <v>24</v>
      </c>
      <c r="K561">
        <v>2023</v>
      </c>
      <c r="L561" t="s">
        <v>43</v>
      </c>
      <c r="M561" t="s">
        <v>19</v>
      </c>
      <c r="N561">
        <v>3</v>
      </c>
    </row>
    <row r="562" spans="1:14" x14ac:dyDescent="0.25">
      <c r="A562">
        <v>561</v>
      </c>
      <c r="B562" s="1" t="s">
        <v>20</v>
      </c>
      <c r="C562">
        <v>7</v>
      </c>
      <c r="D562" s="1" t="s">
        <v>21</v>
      </c>
      <c r="E562" s="1" t="s">
        <v>15</v>
      </c>
      <c r="F562" s="1" t="s">
        <v>16</v>
      </c>
      <c r="G562" s="2">
        <v>45163</v>
      </c>
      <c r="H562">
        <v>4</v>
      </c>
      <c r="I562">
        <v>10044</v>
      </c>
      <c r="J562" s="1" t="s">
        <v>24</v>
      </c>
      <c r="K562">
        <v>2023</v>
      </c>
      <c r="L562" t="s">
        <v>47</v>
      </c>
      <c r="M562" t="s">
        <v>25</v>
      </c>
      <c r="N562">
        <v>8</v>
      </c>
    </row>
    <row r="563" spans="1:14" x14ac:dyDescent="0.25">
      <c r="A563">
        <v>562</v>
      </c>
      <c r="B563" s="1" t="s">
        <v>13</v>
      </c>
      <c r="C563">
        <v>33</v>
      </c>
      <c r="D563" s="1" t="s">
        <v>37</v>
      </c>
      <c r="E563" s="1" t="s">
        <v>27</v>
      </c>
      <c r="F563" s="1" t="s">
        <v>16</v>
      </c>
      <c r="G563" s="2">
        <v>45048</v>
      </c>
      <c r="H563">
        <v>4</v>
      </c>
      <c r="I563">
        <v>11615</v>
      </c>
      <c r="J563" s="1" t="s">
        <v>39</v>
      </c>
      <c r="K563">
        <v>2023</v>
      </c>
      <c r="L563" t="s">
        <v>42</v>
      </c>
      <c r="M563" t="s">
        <v>29</v>
      </c>
      <c r="N563">
        <v>5</v>
      </c>
    </row>
    <row r="564" spans="1:14" x14ac:dyDescent="0.25">
      <c r="A564">
        <v>563</v>
      </c>
      <c r="B564" s="1" t="s">
        <v>13</v>
      </c>
      <c r="C564">
        <v>23</v>
      </c>
      <c r="D564" s="1" t="s">
        <v>45</v>
      </c>
      <c r="E564" s="1" t="s">
        <v>35</v>
      </c>
      <c r="F564" s="1" t="s">
        <v>28</v>
      </c>
      <c r="G564" s="2">
        <v>45123</v>
      </c>
      <c r="H564">
        <v>7</v>
      </c>
      <c r="I564">
        <v>49802</v>
      </c>
      <c r="J564" s="1" t="s">
        <v>39</v>
      </c>
      <c r="K564">
        <v>2023</v>
      </c>
      <c r="L564" t="s">
        <v>36</v>
      </c>
      <c r="M564" t="s">
        <v>29</v>
      </c>
      <c r="N564">
        <v>7</v>
      </c>
    </row>
    <row r="565" spans="1:14" x14ac:dyDescent="0.25">
      <c r="A565">
        <v>564</v>
      </c>
      <c r="B565" s="1" t="s">
        <v>13</v>
      </c>
      <c r="C565">
        <v>85</v>
      </c>
      <c r="D565" s="1" t="s">
        <v>21</v>
      </c>
      <c r="E565" s="1" t="s">
        <v>31</v>
      </c>
      <c r="F565" s="1" t="s">
        <v>16</v>
      </c>
      <c r="G565" s="2">
        <v>45055</v>
      </c>
      <c r="H565">
        <v>14</v>
      </c>
      <c r="I565">
        <v>7060</v>
      </c>
      <c r="J565" s="1" t="s">
        <v>17</v>
      </c>
      <c r="K565">
        <v>2023</v>
      </c>
      <c r="L565" t="s">
        <v>42</v>
      </c>
      <c r="M565" t="s">
        <v>19</v>
      </c>
      <c r="N565">
        <v>5</v>
      </c>
    </row>
    <row r="566" spans="1:14" x14ac:dyDescent="0.25">
      <c r="A566">
        <v>565</v>
      </c>
      <c r="B566" s="1" t="s">
        <v>20</v>
      </c>
      <c r="C566">
        <v>19</v>
      </c>
      <c r="D566" s="1" t="s">
        <v>45</v>
      </c>
      <c r="E566" s="1" t="s">
        <v>35</v>
      </c>
      <c r="F566" s="1" t="s">
        <v>28</v>
      </c>
      <c r="G566" s="2">
        <v>44957</v>
      </c>
      <c r="H566">
        <v>14</v>
      </c>
      <c r="I566">
        <v>12900</v>
      </c>
      <c r="J566" s="1" t="s">
        <v>24</v>
      </c>
      <c r="K566">
        <v>2023</v>
      </c>
      <c r="L566" t="s">
        <v>48</v>
      </c>
      <c r="M566" t="s">
        <v>29</v>
      </c>
      <c r="N566">
        <v>1</v>
      </c>
    </row>
    <row r="567" spans="1:14" x14ac:dyDescent="0.25">
      <c r="A567">
        <v>566</v>
      </c>
      <c r="B567" s="1" t="s">
        <v>20</v>
      </c>
      <c r="C567">
        <v>19</v>
      </c>
      <c r="D567" s="1" t="s">
        <v>14</v>
      </c>
      <c r="E567" s="1" t="s">
        <v>27</v>
      </c>
      <c r="F567" s="1" t="s">
        <v>23</v>
      </c>
      <c r="G567" s="2">
        <v>45022</v>
      </c>
      <c r="H567">
        <v>11</v>
      </c>
      <c r="I567">
        <v>7581</v>
      </c>
      <c r="J567" s="1" t="s">
        <v>39</v>
      </c>
      <c r="K567">
        <v>2023</v>
      </c>
      <c r="L567" t="s">
        <v>33</v>
      </c>
      <c r="M567" t="s">
        <v>29</v>
      </c>
      <c r="N567">
        <v>4</v>
      </c>
    </row>
    <row r="568" spans="1:14" x14ac:dyDescent="0.25">
      <c r="A568">
        <v>567</v>
      </c>
      <c r="B568" s="1" t="s">
        <v>20</v>
      </c>
      <c r="C568">
        <v>36</v>
      </c>
      <c r="D568" s="1" t="s">
        <v>37</v>
      </c>
      <c r="E568" s="1" t="s">
        <v>15</v>
      </c>
      <c r="F568" s="1" t="s">
        <v>16</v>
      </c>
      <c r="G568" s="2">
        <v>45038</v>
      </c>
      <c r="H568">
        <v>7</v>
      </c>
      <c r="I568">
        <v>36782</v>
      </c>
      <c r="J568" s="1" t="s">
        <v>39</v>
      </c>
      <c r="K568">
        <v>2023</v>
      </c>
      <c r="L568" t="s">
        <v>33</v>
      </c>
      <c r="M568" t="s">
        <v>29</v>
      </c>
      <c r="N568">
        <v>4</v>
      </c>
    </row>
    <row r="569" spans="1:14" x14ac:dyDescent="0.25">
      <c r="A569">
        <v>568</v>
      </c>
      <c r="B569" s="1" t="s">
        <v>20</v>
      </c>
      <c r="C569">
        <v>29</v>
      </c>
      <c r="D569" s="1" t="s">
        <v>30</v>
      </c>
      <c r="E569" s="1" t="s">
        <v>22</v>
      </c>
      <c r="F569" s="1" t="s">
        <v>16</v>
      </c>
      <c r="G569" s="2">
        <v>45003</v>
      </c>
      <c r="H569">
        <v>13</v>
      </c>
      <c r="I569">
        <v>22173</v>
      </c>
      <c r="J569" s="1" t="s">
        <v>24</v>
      </c>
      <c r="K569">
        <v>2023</v>
      </c>
      <c r="L569" t="s">
        <v>43</v>
      </c>
      <c r="M569" t="s">
        <v>29</v>
      </c>
      <c r="N569">
        <v>3</v>
      </c>
    </row>
    <row r="570" spans="1:14" x14ac:dyDescent="0.25">
      <c r="A570">
        <v>569</v>
      </c>
      <c r="B570" s="1" t="s">
        <v>13</v>
      </c>
      <c r="C570">
        <v>60</v>
      </c>
      <c r="D570" s="1" t="s">
        <v>30</v>
      </c>
      <c r="E570" s="1" t="s">
        <v>27</v>
      </c>
      <c r="F570" s="1" t="s">
        <v>28</v>
      </c>
      <c r="G570" s="2">
        <v>44991</v>
      </c>
      <c r="H570">
        <v>11</v>
      </c>
      <c r="I570">
        <v>14997</v>
      </c>
      <c r="J570" s="1" t="s">
        <v>24</v>
      </c>
      <c r="K570">
        <v>2023</v>
      </c>
      <c r="L570" t="s">
        <v>43</v>
      </c>
      <c r="M570" t="s">
        <v>19</v>
      </c>
      <c r="N570">
        <v>3</v>
      </c>
    </row>
    <row r="571" spans="1:14" x14ac:dyDescent="0.25">
      <c r="A571">
        <v>570</v>
      </c>
      <c r="B571" s="1" t="s">
        <v>13</v>
      </c>
      <c r="C571">
        <v>82</v>
      </c>
      <c r="D571" s="1" t="s">
        <v>21</v>
      </c>
      <c r="E571" s="1" t="s">
        <v>15</v>
      </c>
      <c r="F571" s="1" t="s">
        <v>23</v>
      </c>
      <c r="G571" s="2">
        <v>45188</v>
      </c>
      <c r="H571">
        <v>8</v>
      </c>
      <c r="I571">
        <v>45403</v>
      </c>
      <c r="J571" s="1" t="s">
        <v>17</v>
      </c>
      <c r="K571">
        <v>2023</v>
      </c>
      <c r="L571" t="s">
        <v>44</v>
      </c>
      <c r="M571" t="s">
        <v>19</v>
      </c>
      <c r="N571">
        <v>9</v>
      </c>
    </row>
    <row r="572" spans="1:14" x14ac:dyDescent="0.25">
      <c r="A572">
        <v>571</v>
      </c>
      <c r="B572" s="1" t="s">
        <v>20</v>
      </c>
      <c r="C572">
        <v>2</v>
      </c>
      <c r="D572" s="1" t="s">
        <v>34</v>
      </c>
      <c r="E572" s="1" t="s">
        <v>31</v>
      </c>
      <c r="F572" s="1" t="s">
        <v>32</v>
      </c>
      <c r="G572" s="2">
        <v>45010</v>
      </c>
      <c r="H572">
        <v>11</v>
      </c>
      <c r="I572">
        <v>48416</v>
      </c>
      <c r="J572" s="1" t="s">
        <v>24</v>
      </c>
      <c r="K572">
        <v>2023</v>
      </c>
      <c r="L572" t="s">
        <v>43</v>
      </c>
      <c r="M572" t="s">
        <v>25</v>
      </c>
      <c r="N572">
        <v>3</v>
      </c>
    </row>
    <row r="573" spans="1:14" x14ac:dyDescent="0.25">
      <c r="A573">
        <v>572</v>
      </c>
      <c r="B573" s="1" t="s">
        <v>13</v>
      </c>
      <c r="C573">
        <v>1</v>
      </c>
      <c r="D573" s="1" t="s">
        <v>14</v>
      </c>
      <c r="E573" s="1" t="s">
        <v>35</v>
      </c>
      <c r="F573" s="1" t="s">
        <v>23</v>
      </c>
      <c r="G573" s="2">
        <v>44956</v>
      </c>
      <c r="H573">
        <v>5</v>
      </c>
      <c r="I573">
        <v>9148</v>
      </c>
      <c r="J573" s="1" t="s">
        <v>24</v>
      </c>
      <c r="K573">
        <v>2023</v>
      </c>
      <c r="L573" t="s">
        <v>48</v>
      </c>
      <c r="M573" t="s">
        <v>25</v>
      </c>
      <c r="N573">
        <v>1</v>
      </c>
    </row>
    <row r="574" spans="1:14" x14ac:dyDescent="0.25">
      <c r="A574">
        <v>573</v>
      </c>
      <c r="B574" s="1" t="s">
        <v>13</v>
      </c>
      <c r="C574">
        <v>47</v>
      </c>
      <c r="D574" s="1" t="s">
        <v>21</v>
      </c>
      <c r="E574" s="1" t="s">
        <v>35</v>
      </c>
      <c r="F574" s="1" t="s">
        <v>28</v>
      </c>
      <c r="G574" s="2">
        <v>45106</v>
      </c>
      <c r="H574">
        <v>7</v>
      </c>
      <c r="I574">
        <v>20748</v>
      </c>
      <c r="J574" s="1" t="s">
        <v>24</v>
      </c>
      <c r="K574">
        <v>2023</v>
      </c>
      <c r="L574" t="s">
        <v>40</v>
      </c>
      <c r="M574" t="s">
        <v>38</v>
      </c>
      <c r="N574">
        <v>6</v>
      </c>
    </row>
    <row r="575" spans="1:14" x14ac:dyDescent="0.25">
      <c r="A575">
        <v>574</v>
      </c>
      <c r="B575" s="1" t="s">
        <v>20</v>
      </c>
      <c r="C575">
        <v>69</v>
      </c>
      <c r="D575" s="1" t="s">
        <v>34</v>
      </c>
      <c r="E575" s="1" t="s">
        <v>35</v>
      </c>
      <c r="F575" s="1" t="s">
        <v>23</v>
      </c>
      <c r="G575" s="2">
        <v>45136</v>
      </c>
      <c r="H575">
        <v>8</v>
      </c>
      <c r="I575">
        <v>16022</v>
      </c>
      <c r="J575" s="1" t="s">
        <v>24</v>
      </c>
      <c r="K575">
        <v>2023</v>
      </c>
      <c r="L575" t="s">
        <v>36</v>
      </c>
      <c r="M575" t="s">
        <v>19</v>
      </c>
      <c r="N575">
        <v>7</v>
      </c>
    </row>
    <row r="576" spans="1:14" x14ac:dyDescent="0.25">
      <c r="A576">
        <v>575</v>
      </c>
      <c r="B576" s="1" t="s">
        <v>13</v>
      </c>
      <c r="C576">
        <v>20</v>
      </c>
      <c r="D576" s="1" t="s">
        <v>45</v>
      </c>
      <c r="E576" s="1" t="s">
        <v>31</v>
      </c>
      <c r="F576" s="1" t="s">
        <v>28</v>
      </c>
      <c r="G576" s="2">
        <v>45154</v>
      </c>
      <c r="H576">
        <v>9</v>
      </c>
      <c r="I576">
        <v>22013</v>
      </c>
      <c r="J576" s="1" t="s">
        <v>39</v>
      </c>
      <c r="K576">
        <v>2023</v>
      </c>
      <c r="L576" t="s">
        <v>47</v>
      </c>
      <c r="M576" t="s">
        <v>29</v>
      </c>
      <c r="N576">
        <v>8</v>
      </c>
    </row>
    <row r="577" spans="1:14" x14ac:dyDescent="0.25">
      <c r="A577">
        <v>576</v>
      </c>
      <c r="B577" s="1" t="s">
        <v>20</v>
      </c>
      <c r="C577">
        <v>11</v>
      </c>
      <c r="D577" s="1" t="s">
        <v>14</v>
      </c>
      <c r="E577" s="1" t="s">
        <v>15</v>
      </c>
      <c r="F577" s="1" t="s">
        <v>28</v>
      </c>
      <c r="G577" s="2">
        <v>44943</v>
      </c>
      <c r="H577">
        <v>3</v>
      </c>
      <c r="I577">
        <v>40687</v>
      </c>
      <c r="J577" s="1" t="s">
        <v>24</v>
      </c>
      <c r="K577">
        <v>2023</v>
      </c>
      <c r="L577" t="s">
        <v>48</v>
      </c>
      <c r="M577" t="s">
        <v>25</v>
      </c>
      <c r="N577">
        <v>1</v>
      </c>
    </row>
    <row r="578" spans="1:14" x14ac:dyDescent="0.25">
      <c r="A578">
        <v>577</v>
      </c>
      <c r="B578" s="1" t="s">
        <v>13</v>
      </c>
      <c r="C578">
        <v>2</v>
      </c>
      <c r="D578" s="1" t="s">
        <v>45</v>
      </c>
      <c r="E578" s="1" t="s">
        <v>31</v>
      </c>
      <c r="F578" s="1" t="s">
        <v>32</v>
      </c>
      <c r="G578" s="2">
        <v>45197</v>
      </c>
      <c r="H578">
        <v>3</v>
      </c>
      <c r="I578">
        <v>17886</v>
      </c>
      <c r="J578" s="1" t="s">
        <v>24</v>
      </c>
      <c r="K578">
        <v>2023</v>
      </c>
      <c r="L578" t="s">
        <v>44</v>
      </c>
      <c r="M578" t="s">
        <v>25</v>
      </c>
      <c r="N578">
        <v>9</v>
      </c>
    </row>
    <row r="579" spans="1:14" x14ac:dyDescent="0.25">
      <c r="A579">
        <v>578</v>
      </c>
      <c r="B579" s="1" t="s">
        <v>20</v>
      </c>
      <c r="C579">
        <v>67</v>
      </c>
      <c r="D579" s="1" t="s">
        <v>37</v>
      </c>
      <c r="E579" s="1" t="s">
        <v>35</v>
      </c>
      <c r="F579" s="1" t="s">
        <v>16</v>
      </c>
      <c r="G579" s="2">
        <v>45067</v>
      </c>
      <c r="H579">
        <v>4</v>
      </c>
      <c r="I579">
        <v>27256</v>
      </c>
      <c r="J579" s="1" t="s">
        <v>24</v>
      </c>
      <c r="K579">
        <v>2023</v>
      </c>
      <c r="L579" t="s">
        <v>42</v>
      </c>
      <c r="M579" t="s">
        <v>19</v>
      </c>
      <c r="N579">
        <v>5</v>
      </c>
    </row>
    <row r="580" spans="1:14" x14ac:dyDescent="0.25">
      <c r="A580">
        <v>579</v>
      </c>
      <c r="B580" s="1" t="s">
        <v>20</v>
      </c>
      <c r="C580">
        <v>87</v>
      </c>
      <c r="D580" s="1" t="s">
        <v>14</v>
      </c>
      <c r="E580" s="1" t="s">
        <v>27</v>
      </c>
      <c r="F580" s="1" t="s">
        <v>28</v>
      </c>
      <c r="G580" s="2">
        <v>45156</v>
      </c>
      <c r="H580">
        <v>5</v>
      </c>
      <c r="I580">
        <v>32005</v>
      </c>
      <c r="J580" s="1" t="s">
        <v>24</v>
      </c>
      <c r="K580">
        <v>2023</v>
      </c>
      <c r="L580" t="s">
        <v>47</v>
      </c>
      <c r="M580" t="s">
        <v>19</v>
      </c>
      <c r="N580">
        <v>8</v>
      </c>
    </row>
    <row r="581" spans="1:14" x14ac:dyDescent="0.25">
      <c r="A581">
        <v>580</v>
      </c>
      <c r="B581" s="1" t="s">
        <v>20</v>
      </c>
      <c r="C581">
        <v>12</v>
      </c>
      <c r="D581" s="1" t="s">
        <v>34</v>
      </c>
      <c r="E581" s="1" t="s">
        <v>22</v>
      </c>
      <c r="F581" s="1" t="s">
        <v>28</v>
      </c>
      <c r="G581" s="2">
        <v>45261</v>
      </c>
      <c r="H581">
        <v>10</v>
      </c>
      <c r="I581">
        <v>8638</v>
      </c>
      <c r="J581" s="1" t="s">
        <v>24</v>
      </c>
      <c r="K581">
        <v>2023</v>
      </c>
      <c r="L581" t="s">
        <v>26</v>
      </c>
      <c r="M581" t="s">
        <v>25</v>
      </c>
      <c r="N581">
        <v>12</v>
      </c>
    </row>
    <row r="582" spans="1:14" x14ac:dyDescent="0.25">
      <c r="A582">
        <v>581</v>
      </c>
      <c r="B582" s="1" t="s">
        <v>20</v>
      </c>
      <c r="C582">
        <v>20</v>
      </c>
      <c r="D582" s="1" t="s">
        <v>37</v>
      </c>
      <c r="E582" s="1" t="s">
        <v>31</v>
      </c>
      <c r="F582" s="1" t="s">
        <v>32</v>
      </c>
      <c r="G582" s="2">
        <v>45057</v>
      </c>
      <c r="H582">
        <v>1</v>
      </c>
      <c r="I582">
        <v>39419</v>
      </c>
      <c r="J582" s="1" t="s">
        <v>24</v>
      </c>
      <c r="K582">
        <v>2023</v>
      </c>
      <c r="L582" t="s">
        <v>42</v>
      </c>
      <c r="M582" t="s">
        <v>29</v>
      </c>
      <c r="N582">
        <v>5</v>
      </c>
    </row>
    <row r="583" spans="1:14" x14ac:dyDescent="0.25">
      <c r="A583">
        <v>582</v>
      </c>
      <c r="B583" s="1" t="s">
        <v>13</v>
      </c>
      <c r="C583">
        <v>5</v>
      </c>
      <c r="D583" s="1" t="s">
        <v>30</v>
      </c>
      <c r="E583" s="1" t="s">
        <v>31</v>
      </c>
      <c r="F583" s="1" t="s">
        <v>28</v>
      </c>
      <c r="G583" s="2">
        <v>45255</v>
      </c>
      <c r="H583">
        <v>7</v>
      </c>
      <c r="I583">
        <v>35377</v>
      </c>
      <c r="J583" s="1" t="s">
        <v>39</v>
      </c>
      <c r="K583">
        <v>2023</v>
      </c>
      <c r="L583" t="s">
        <v>18</v>
      </c>
      <c r="M583" t="s">
        <v>25</v>
      </c>
      <c r="N583">
        <v>11</v>
      </c>
    </row>
    <row r="584" spans="1:14" x14ac:dyDescent="0.25">
      <c r="A584">
        <v>583</v>
      </c>
      <c r="B584" s="1" t="s">
        <v>20</v>
      </c>
      <c r="C584">
        <v>37</v>
      </c>
      <c r="D584" s="1" t="s">
        <v>34</v>
      </c>
      <c r="E584" s="1" t="s">
        <v>15</v>
      </c>
      <c r="F584" s="1" t="s">
        <v>16</v>
      </c>
      <c r="G584" s="2">
        <v>45076</v>
      </c>
      <c r="H584">
        <v>9</v>
      </c>
      <c r="I584">
        <v>42708</v>
      </c>
      <c r="J584" s="1" t="s">
        <v>24</v>
      </c>
      <c r="K584">
        <v>2023</v>
      </c>
      <c r="L584" t="s">
        <v>42</v>
      </c>
      <c r="M584" t="s">
        <v>29</v>
      </c>
      <c r="N584">
        <v>5</v>
      </c>
    </row>
    <row r="585" spans="1:14" x14ac:dyDescent="0.25">
      <c r="A585">
        <v>584</v>
      </c>
      <c r="B585" s="1" t="s">
        <v>20</v>
      </c>
      <c r="C585">
        <v>38</v>
      </c>
      <c r="D585" s="1" t="s">
        <v>21</v>
      </c>
      <c r="E585" s="1" t="s">
        <v>15</v>
      </c>
      <c r="F585" s="1" t="s">
        <v>32</v>
      </c>
      <c r="G585" s="2">
        <v>45256</v>
      </c>
      <c r="H585">
        <v>8</v>
      </c>
      <c r="I585">
        <v>45116</v>
      </c>
      <c r="J585" s="1" t="s">
        <v>24</v>
      </c>
      <c r="K585">
        <v>2023</v>
      </c>
      <c r="L585" t="s">
        <v>18</v>
      </c>
      <c r="M585" t="s">
        <v>29</v>
      </c>
      <c r="N585">
        <v>11</v>
      </c>
    </row>
    <row r="586" spans="1:14" x14ac:dyDescent="0.25">
      <c r="A586">
        <v>585</v>
      </c>
      <c r="B586" s="1" t="s">
        <v>20</v>
      </c>
      <c r="C586">
        <v>9</v>
      </c>
      <c r="D586" s="1" t="s">
        <v>30</v>
      </c>
      <c r="E586" s="1" t="s">
        <v>31</v>
      </c>
      <c r="F586" s="1" t="s">
        <v>16</v>
      </c>
      <c r="G586" s="2">
        <v>45007</v>
      </c>
      <c r="H586">
        <v>5</v>
      </c>
      <c r="I586">
        <v>38634</v>
      </c>
      <c r="J586" s="1" t="s">
        <v>24</v>
      </c>
      <c r="K586">
        <v>2023</v>
      </c>
      <c r="L586" t="s">
        <v>43</v>
      </c>
      <c r="M586" t="s">
        <v>25</v>
      </c>
      <c r="N586">
        <v>3</v>
      </c>
    </row>
    <row r="587" spans="1:14" x14ac:dyDescent="0.25">
      <c r="A587">
        <v>586</v>
      </c>
      <c r="B587" s="1" t="s">
        <v>13</v>
      </c>
      <c r="C587">
        <v>53</v>
      </c>
      <c r="D587" s="1" t="s">
        <v>30</v>
      </c>
      <c r="E587" s="1" t="s">
        <v>35</v>
      </c>
      <c r="F587" s="1" t="s">
        <v>16</v>
      </c>
      <c r="G587" s="2">
        <v>45157</v>
      </c>
      <c r="H587">
        <v>14</v>
      </c>
      <c r="I587">
        <v>18755</v>
      </c>
      <c r="J587" s="1" t="s">
        <v>24</v>
      </c>
      <c r="K587">
        <v>2023</v>
      </c>
      <c r="L587" t="s">
        <v>47</v>
      </c>
      <c r="M587" t="s">
        <v>38</v>
      </c>
      <c r="N587">
        <v>8</v>
      </c>
    </row>
    <row r="588" spans="1:14" x14ac:dyDescent="0.25">
      <c r="A588">
        <v>587</v>
      </c>
      <c r="B588" s="1" t="s">
        <v>20</v>
      </c>
      <c r="C588">
        <v>44</v>
      </c>
      <c r="D588" s="1" t="s">
        <v>21</v>
      </c>
      <c r="E588" s="1" t="s">
        <v>22</v>
      </c>
      <c r="F588" s="1" t="s">
        <v>32</v>
      </c>
      <c r="G588" s="2">
        <v>45276</v>
      </c>
      <c r="H588">
        <v>14</v>
      </c>
      <c r="I588">
        <v>25382</v>
      </c>
      <c r="J588" s="1" t="s">
        <v>39</v>
      </c>
      <c r="K588">
        <v>2023</v>
      </c>
      <c r="L588" t="s">
        <v>26</v>
      </c>
      <c r="M588" t="s">
        <v>38</v>
      </c>
      <c r="N588">
        <v>12</v>
      </c>
    </row>
    <row r="589" spans="1:14" x14ac:dyDescent="0.25">
      <c r="A589">
        <v>588</v>
      </c>
      <c r="B589" s="1" t="s">
        <v>13</v>
      </c>
      <c r="C589">
        <v>86</v>
      </c>
      <c r="D589" s="1" t="s">
        <v>14</v>
      </c>
      <c r="E589" s="1" t="s">
        <v>15</v>
      </c>
      <c r="F589" s="1" t="s">
        <v>28</v>
      </c>
      <c r="G589" s="2">
        <v>45227</v>
      </c>
      <c r="H589">
        <v>4</v>
      </c>
      <c r="I589">
        <v>24394</v>
      </c>
      <c r="J589" s="1" t="s">
        <v>39</v>
      </c>
      <c r="K589">
        <v>2023</v>
      </c>
      <c r="L589" t="s">
        <v>41</v>
      </c>
      <c r="M589" t="s">
        <v>19</v>
      </c>
      <c r="N589">
        <v>10</v>
      </c>
    </row>
    <row r="590" spans="1:14" x14ac:dyDescent="0.25">
      <c r="A590">
        <v>589</v>
      </c>
      <c r="B590" s="1" t="s">
        <v>20</v>
      </c>
      <c r="C590">
        <v>24</v>
      </c>
      <c r="D590" s="1" t="s">
        <v>30</v>
      </c>
      <c r="E590" s="1" t="s">
        <v>35</v>
      </c>
      <c r="F590" s="1" t="s">
        <v>16</v>
      </c>
      <c r="G590" s="2">
        <v>44976</v>
      </c>
      <c r="H590">
        <v>12</v>
      </c>
      <c r="I590">
        <v>4253</v>
      </c>
      <c r="J590" s="1" t="s">
        <v>39</v>
      </c>
      <c r="K590">
        <v>2023</v>
      </c>
      <c r="L590" t="s">
        <v>46</v>
      </c>
      <c r="M590" t="s">
        <v>29</v>
      </c>
      <c r="N590">
        <v>2</v>
      </c>
    </row>
    <row r="591" spans="1:14" x14ac:dyDescent="0.25">
      <c r="A591">
        <v>590</v>
      </c>
      <c r="B591" s="1" t="s">
        <v>13</v>
      </c>
      <c r="C591">
        <v>81</v>
      </c>
      <c r="D591" s="1" t="s">
        <v>34</v>
      </c>
      <c r="E591" s="1" t="s">
        <v>27</v>
      </c>
      <c r="F591" s="1" t="s">
        <v>16</v>
      </c>
      <c r="G591" s="2">
        <v>45132</v>
      </c>
      <c r="H591">
        <v>7</v>
      </c>
      <c r="I591">
        <v>39710</v>
      </c>
      <c r="J591" s="1" t="s">
        <v>24</v>
      </c>
      <c r="K591">
        <v>2023</v>
      </c>
      <c r="L591" t="s">
        <v>36</v>
      </c>
      <c r="M591" t="s">
        <v>19</v>
      </c>
      <c r="N591">
        <v>7</v>
      </c>
    </row>
    <row r="592" spans="1:14" x14ac:dyDescent="0.25">
      <c r="A592">
        <v>591</v>
      </c>
      <c r="B592" s="1" t="s">
        <v>13</v>
      </c>
      <c r="C592">
        <v>74</v>
      </c>
      <c r="D592" s="1" t="s">
        <v>37</v>
      </c>
      <c r="E592" s="1" t="s">
        <v>15</v>
      </c>
      <c r="F592" s="1" t="s">
        <v>16</v>
      </c>
      <c r="G592" s="2">
        <v>45003</v>
      </c>
      <c r="H592">
        <v>5</v>
      </c>
      <c r="I592">
        <v>47098</v>
      </c>
      <c r="J592" s="1" t="s">
        <v>24</v>
      </c>
      <c r="K592">
        <v>2023</v>
      </c>
      <c r="L592" t="s">
        <v>43</v>
      </c>
      <c r="M592" t="s">
        <v>19</v>
      </c>
      <c r="N592">
        <v>3</v>
      </c>
    </row>
    <row r="593" spans="1:14" x14ac:dyDescent="0.25">
      <c r="A593">
        <v>592</v>
      </c>
      <c r="B593" s="1" t="s">
        <v>20</v>
      </c>
      <c r="C593">
        <v>30</v>
      </c>
      <c r="D593" s="1" t="s">
        <v>30</v>
      </c>
      <c r="E593" s="1" t="s">
        <v>35</v>
      </c>
      <c r="F593" s="1" t="s">
        <v>16</v>
      </c>
      <c r="G593" s="2">
        <v>45032</v>
      </c>
      <c r="H593">
        <v>7</v>
      </c>
      <c r="I593">
        <v>2864</v>
      </c>
      <c r="J593" s="1" t="s">
        <v>24</v>
      </c>
      <c r="K593">
        <v>2023</v>
      </c>
      <c r="L593" t="s">
        <v>33</v>
      </c>
      <c r="M593" t="s">
        <v>29</v>
      </c>
      <c r="N593">
        <v>4</v>
      </c>
    </row>
    <row r="594" spans="1:14" x14ac:dyDescent="0.25">
      <c r="A594">
        <v>593</v>
      </c>
      <c r="B594" s="1" t="s">
        <v>13</v>
      </c>
      <c r="C594">
        <v>59</v>
      </c>
      <c r="D594" s="1" t="s">
        <v>34</v>
      </c>
      <c r="E594" s="1" t="s">
        <v>35</v>
      </c>
      <c r="F594" s="1" t="s">
        <v>32</v>
      </c>
      <c r="G594" s="2">
        <v>45248</v>
      </c>
      <c r="H594">
        <v>12</v>
      </c>
      <c r="I594">
        <v>36036</v>
      </c>
      <c r="J594" s="1" t="s">
        <v>24</v>
      </c>
      <c r="K594">
        <v>2023</v>
      </c>
      <c r="L594" t="s">
        <v>18</v>
      </c>
      <c r="M594" t="s">
        <v>38</v>
      </c>
      <c r="N594">
        <v>11</v>
      </c>
    </row>
    <row r="595" spans="1:14" x14ac:dyDescent="0.25">
      <c r="A595">
        <v>594</v>
      </c>
      <c r="B595" s="1" t="s">
        <v>20</v>
      </c>
      <c r="C595">
        <v>87</v>
      </c>
      <c r="D595" s="1" t="s">
        <v>45</v>
      </c>
      <c r="E595" s="1" t="s">
        <v>22</v>
      </c>
      <c r="F595" s="1" t="s">
        <v>32</v>
      </c>
      <c r="G595" s="2">
        <v>45100</v>
      </c>
      <c r="H595">
        <v>1</v>
      </c>
      <c r="I595">
        <v>42222</v>
      </c>
      <c r="J595" s="1" t="s">
        <v>39</v>
      </c>
      <c r="K595">
        <v>2023</v>
      </c>
      <c r="L595" t="s">
        <v>40</v>
      </c>
      <c r="M595" t="s">
        <v>19</v>
      </c>
      <c r="N595">
        <v>6</v>
      </c>
    </row>
    <row r="596" spans="1:14" x14ac:dyDescent="0.25">
      <c r="A596">
        <v>595</v>
      </c>
      <c r="B596" s="1" t="s">
        <v>20</v>
      </c>
      <c r="C596">
        <v>81</v>
      </c>
      <c r="D596" s="1" t="s">
        <v>34</v>
      </c>
      <c r="E596" s="1" t="s">
        <v>22</v>
      </c>
      <c r="F596" s="1" t="s">
        <v>23</v>
      </c>
      <c r="G596" s="2">
        <v>44991</v>
      </c>
      <c r="H596">
        <v>1</v>
      </c>
      <c r="I596">
        <v>15666</v>
      </c>
      <c r="J596" s="1" t="s">
        <v>39</v>
      </c>
      <c r="K596">
        <v>2023</v>
      </c>
      <c r="L596" t="s">
        <v>43</v>
      </c>
      <c r="M596" t="s">
        <v>19</v>
      </c>
      <c r="N596">
        <v>3</v>
      </c>
    </row>
    <row r="597" spans="1:14" x14ac:dyDescent="0.25">
      <c r="A597">
        <v>596</v>
      </c>
      <c r="B597" s="1" t="s">
        <v>20</v>
      </c>
      <c r="C597">
        <v>81</v>
      </c>
      <c r="D597" s="1" t="s">
        <v>37</v>
      </c>
      <c r="E597" s="1" t="s">
        <v>27</v>
      </c>
      <c r="F597" s="1" t="s">
        <v>23</v>
      </c>
      <c r="G597" s="2">
        <v>45131</v>
      </c>
      <c r="H597">
        <v>10</v>
      </c>
      <c r="I597">
        <v>22955</v>
      </c>
      <c r="J597" s="1" t="s">
        <v>39</v>
      </c>
      <c r="K597">
        <v>2023</v>
      </c>
      <c r="L597" t="s">
        <v>36</v>
      </c>
      <c r="M597" t="s">
        <v>19</v>
      </c>
      <c r="N597">
        <v>7</v>
      </c>
    </row>
    <row r="598" spans="1:14" x14ac:dyDescent="0.25">
      <c r="A598">
        <v>597</v>
      </c>
      <c r="B598" s="1" t="s">
        <v>13</v>
      </c>
      <c r="C598">
        <v>14</v>
      </c>
      <c r="D598" s="1" t="s">
        <v>34</v>
      </c>
      <c r="E598" s="1" t="s">
        <v>35</v>
      </c>
      <c r="F598" s="1" t="s">
        <v>16</v>
      </c>
      <c r="G598" s="2">
        <v>45151</v>
      </c>
      <c r="H598">
        <v>14</v>
      </c>
      <c r="I598">
        <v>47138</v>
      </c>
      <c r="J598" s="1" t="s">
        <v>17</v>
      </c>
      <c r="K598">
        <v>2023</v>
      </c>
      <c r="L598" t="s">
        <v>47</v>
      </c>
      <c r="M598" t="s">
        <v>25</v>
      </c>
      <c r="N598">
        <v>8</v>
      </c>
    </row>
    <row r="599" spans="1:14" x14ac:dyDescent="0.25">
      <c r="A599">
        <v>598</v>
      </c>
      <c r="B599" s="1" t="s">
        <v>13</v>
      </c>
      <c r="C599">
        <v>9</v>
      </c>
      <c r="D599" s="1" t="s">
        <v>21</v>
      </c>
      <c r="E599" s="1" t="s">
        <v>35</v>
      </c>
      <c r="F599" s="1" t="s">
        <v>28</v>
      </c>
      <c r="G599" s="2">
        <v>45139</v>
      </c>
      <c r="H599">
        <v>13</v>
      </c>
      <c r="I599">
        <v>39997</v>
      </c>
      <c r="J599" s="1" t="s">
        <v>39</v>
      </c>
      <c r="K599">
        <v>2023</v>
      </c>
      <c r="L599" t="s">
        <v>47</v>
      </c>
      <c r="M599" t="s">
        <v>25</v>
      </c>
      <c r="N599">
        <v>8</v>
      </c>
    </row>
    <row r="600" spans="1:14" x14ac:dyDescent="0.25">
      <c r="A600">
        <v>599</v>
      </c>
      <c r="B600" s="1" t="s">
        <v>20</v>
      </c>
      <c r="C600">
        <v>40</v>
      </c>
      <c r="D600" s="1" t="s">
        <v>37</v>
      </c>
      <c r="E600" s="1" t="s">
        <v>22</v>
      </c>
      <c r="F600" s="1" t="s">
        <v>16</v>
      </c>
      <c r="G600" s="2">
        <v>45036</v>
      </c>
      <c r="H600">
        <v>3</v>
      </c>
      <c r="I600">
        <v>18309</v>
      </c>
      <c r="J600" s="1" t="s">
        <v>24</v>
      </c>
      <c r="K600">
        <v>2023</v>
      </c>
      <c r="L600" t="s">
        <v>33</v>
      </c>
      <c r="M600" t="s">
        <v>38</v>
      </c>
      <c r="N600">
        <v>4</v>
      </c>
    </row>
    <row r="601" spans="1:14" x14ac:dyDescent="0.25">
      <c r="A601">
        <v>600</v>
      </c>
      <c r="B601" s="1" t="s">
        <v>20</v>
      </c>
      <c r="C601">
        <v>66</v>
      </c>
      <c r="D601" s="1" t="s">
        <v>14</v>
      </c>
      <c r="E601" s="1" t="s">
        <v>15</v>
      </c>
      <c r="F601" s="1" t="s">
        <v>28</v>
      </c>
      <c r="G601" s="2">
        <v>45133</v>
      </c>
      <c r="H601">
        <v>14</v>
      </c>
      <c r="I601">
        <v>6054</v>
      </c>
      <c r="J601" s="1" t="s">
        <v>24</v>
      </c>
      <c r="K601">
        <v>2023</v>
      </c>
      <c r="L601" t="s">
        <v>36</v>
      </c>
      <c r="M601" t="s">
        <v>19</v>
      </c>
      <c r="N601">
        <v>7</v>
      </c>
    </row>
    <row r="602" spans="1:14" x14ac:dyDescent="0.25">
      <c r="A602">
        <v>601</v>
      </c>
      <c r="B602" s="1" t="s">
        <v>13</v>
      </c>
      <c r="C602">
        <v>25</v>
      </c>
      <c r="D602" s="1" t="s">
        <v>45</v>
      </c>
      <c r="E602" s="1" t="s">
        <v>15</v>
      </c>
      <c r="F602" s="1" t="s">
        <v>16</v>
      </c>
      <c r="G602" s="2">
        <v>45173</v>
      </c>
      <c r="H602">
        <v>11</v>
      </c>
      <c r="I602">
        <v>2935</v>
      </c>
      <c r="J602" s="1" t="s">
        <v>24</v>
      </c>
      <c r="K602">
        <v>2023</v>
      </c>
      <c r="L602" t="s">
        <v>44</v>
      </c>
      <c r="M602" t="s">
        <v>29</v>
      </c>
      <c r="N602">
        <v>9</v>
      </c>
    </row>
    <row r="603" spans="1:14" x14ac:dyDescent="0.25">
      <c r="A603">
        <v>602</v>
      </c>
      <c r="B603" s="1" t="s">
        <v>20</v>
      </c>
      <c r="C603">
        <v>73</v>
      </c>
      <c r="D603" s="1" t="s">
        <v>21</v>
      </c>
      <c r="E603" s="1" t="s">
        <v>31</v>
      </c>
      <c r="F603" s="1" t="s">
        <v>23</v>
      </c>
      <c r="G603" s="2">
        <v>45135</v>
      </c>
      <c r="H603">
        <v>2</v>
      </c>
      <c r="I603">
        <v>46940</v>
      </c>
      <c r="J603" s="1" t="s">
        <v>24</v>
      </c>
      <c r="K603">
        <v>2023</v>
      </c>
      <c r="L603" t="s">
        <v>36</v>
      </c>
      <c r="M603" t="s">
        <v>19</v>
      </c>
      <c r="N603">
        <v>7</v>
      </c>
    </row>
    <row r="604" spans="1:14" x14ac:dyDescent="0.25">
      <c r="A604">
        <v>603</v>
      </c>
      <c r="B604" s="1" t="s">
        <v>20</v>
      </c>
      <c r="C604">
        <v>22</v>
      </c>
      <c r="D604" s="1" t="s">
        <v>14</v>
      </c>
      <c r="E604" s="1" t="s">
        <v>22</v>
      </c>
      <c r="F604" s="1" t="s">
        <v>23</v>
      </c>
      <c r="G604" s="2">
        <v>45001</v>
      </c>
      <c r="H604">
        <v>2</v>
      </c>
      <c r="I604">
        <v>24778</v>
      </c>
      <c r="J604" s="1" t="s">
        <v>24</v>
      </c>
      <c r="K604">
        <v>2023</v>
      </c>
      <c r="L604" t="s">
        <v>43</v>
      </c>
      <c r="M604" t="s">
        <v>29</v>
      </c>
      <c r="N604">
        <v>3</v>
      </c>
    </row>
    <row r="605" spans="1:14" x14ac:dyDescent="0.25">
      <c r="A605">
        <v>604</v>
      </c>
      <c r="B605" s="1" t="s">
        <v>20</v>
      </c>
      <c r="C605">
        <v>4</v>
      </c>
      <c r="D605" s="1" t="s">
        <v>34</v>
      </c>
      <c r="E605" s="1" t="s">
        <v>31</v>
      </c>
      <c r="F605" s="1" t="s">
        <v>28</v>
      </c>
      <c r="G605" s="2">
        <v>45263</v>
      </c>
      <c r="H605">
        <v>7</v>
      </c>
      <c r="I605">
        <v>45298</v>
      </c>
      <c r="J605" s="1" t="s">
        <v>24</v>
      </c>
      <c r="K605">
        <v>2023</v>
      </c>
      <c r="L605" t="s">
        <v>26</v>
      </c>
      <c r="M605" t="s">
        <v>25</v>
      </c>
      <c r="N605">
        <v>12</v>
      </c>
    </row>
    <row r="606" spans="1:14" x14ac:dyDescent="0.25">
      <c r="A606">
        <v>605</v>
      </c>
      <c r="B606" s="1" t="s">
        <v>13</v>
      </c>
      <c r="C606">
        <v>26</v>
      </c>
      <c r="D606" s="1" t="s">
        <v>37</v>
      </c>
      <c r="E606" s="1" t="s">
        <v>22</v>
      </c>
      <c r="F606" s="1" t="s">
        <v>16</v>
      </c>
      <c r="G606" s="2">
        <v>45229</v>
      </c>
      <c r="H606">
        <v>12</v>
      </c>
      <c r="I606">
        <v>18709</v>
      </c>
      <c r="J606" s="1" t="s">
        <v>39</v>
      </c>
      <c r="K606">
        <v>2023</v>
      </c>
      <c r="L606" t="s">
        <v>41</v>
      </c>
      <c r="M606" t="s">
        <v>29</v>
      </c>
      <c r="N606">
        <v>10</v>
      </c>
    </row>
    <row r="607" spans="1:14" x14ac:dyDescent="0.25">
      <c r="A607">
        <v>606</v>
      </c>
      <c r="B607" s="1" t="s">
        <v>13</v>
      </c>
      <c r="C607">
        <v>58</v>
      </c>
      <c r="D607" s="1" t="s">
        <v>45</v>
      </c>
      <c r="E607" s="1" t="s">
        <v>27</v>
      </c>
      <c r="F607" s="1" t="s">
        <v>28</v>
      </c>
      <c r="G607" s="2">
        <v>45094</v>
      </c>
      <c r="H607">
        <v>10</v>
      </c>
      <c r="I607">
        <v>11726</v>
      </c>
      <c r="J607" s="1" t="s">
        <v>24</v>
      </c>
      <c r="K607">
        <v>2023</v>
      </c>
      <c r="L607" t="s">
        <v>40</v>
      </c>
      <c r="M607" t="s">
        <v>38</v>
      </c>
      <c r="N607">
        <v>6</v>
      </c>
    </row>
    <row r="608" spans="1:14" x14ac:dyDescent="0.25">
      <c r="A608">
        <v>607</v>
      </c>
      <c r="B608" s="1" t="s">
        <v>13</v>
      </c>
      <c r="C608">
        <v>29</v>
      </c>
      <c r="D608" s="1" t="s">
        <v>21</v>
      </c>
      <c r="E608" s="1" t="s">
        <v>35</v>
      </c>
      <c r="F608" s="1" t="s">
        <v>23</v>
      </c>
      <c r="G608" s="2">
        <v>45087</v>
      </c>
      <c r="H608">
        <v>2</v>
      </c>
      <c r="I608">
        <v>42542</v>
      </c>
      <c r="J608" s="1" t="s">
        <v>39</v>
      </c>
      <c r="K608">
        <v>2023</v>
      </c>
      <c r="L608" t="s">
        <v>40</v>
      </c>
      <c r="M608" t="s">
        <v>29</v>
      </c>
      <c r="N608">
        <v>6</v>
      </c>
    </row>
    <row r="609" spans="1:14" x14ac:dyDescent="0.25">
      <c r="A609">
        <v>608</v>
      </c>
      <c r="B609" s="1" t="s">
        <v>20</v>
      </c>
      <c r="C609">
        <v>87</v>
      </c>
      <c r="D609" s="1" t="s">
        <v>14</v>
      </c>
      <c r="E609" s="1" t="s">
        <v>27</v>
      </c>
      <c r="F609" s="1" t="s">
        <v>16</v>
      </c>
      <c r="G609" s="2">
        <v>45110</v>
      </c>
      <c r="H609">
        <v>11</v>
      </c>
      <c r="I609">
        <v>22245</v>
      </c>
      <c r="J609" s="1" t="s">
        <v>39</v>
      </c>
      <c r="K609">
        <v>2023</v>
      </c>
      <c r="L609" t="s">
        <v>36</v>
      </c>
      <c r="M609" t="s">
        <v>19</v>
      </c>
      <c r="N609">
        <v>7</v>
      </c>
    </row>
    <row r="610" spans="1:14" x14ac:dyDescent="0.25">
      <c r="A610">
        <v>609</v>
      </c>
      <c r="B610" s="1" t="s">
        <v>20</v>
      </c>
      <c r="C610">
        <v>37</v>
      </c>
      <c r="D610" s="1" t="s">
        <v>14</v>
      </c>
      <c r="E610" s="1" t="s">
        <v>22</v>
      </c>
      <c r="F610" s="1" t="s">
        <v>16</v>
      </c>
      <c r="G610" s="2">
        <v>45026</v>
      </c>
      <c r="H610">
        <v>4</v>
      </c>
      <c r="I610">
        <v>36753</v>
      </c>
      <c r="J610" s="1" t="s">
        <v>24</v>
      </c>
      <c r="K610">
        <v>2023</v>
      </c>
      <c r="L610" t="s">
        <v>33</v>
      </c>
      <c r="M610" t="s">
        <v>29</v>
      </c>
      <c r="N610">
        <v>4</v>
      </c>
    </row>
    <row r="611" spans="1:14" x14ac:dyDescent="0.25">
      <c r="A611">
        <v>610</v>
      </c>
      <c r="B611" s="1" t="s">
        <v>20</v>
      </c>
      <c r="C611">
        <v>75</v>
      </c>
      <c r="D611" s="1" t="s">
        <v>45</v>
      </c>
      <c r="E611" s="1" t="s">
        <v>35</v>
      </c>
      <c r="F611" s="1" t="s">
        <v>28</v>
      </c>
      <c r="G611" s="2">
        <v>45047</v>
      </c>
      <c r="H611">
        <v>2</v>
      </c>
      <c r="I611">
        <v>16252</v>
      </c>
      <c r="J611" s="1" t="s">
        <v>24</v>
      </c>
      <c r="K611">
        <v>2023</v>
      </c>
      <c r="L611" t="s">
        <v>42</v>
      </c>
      <c r="M611" t="s">
        <v>19</v>
      </c>
      <c r="N611">
        <v>5</v>
      </c>
    </row>
    <row r="612" spans="1:14" x14ac:dyDescent="0.25">
      <c r="A612">
        <v>611</v>
      </c>
      <c r="B612" s="1" t="s">
        <v>13</v>
      </c>
      <c r="C612">
        <v>70</v>
      </c>
      <c r="D612" s="1" t="s">
        <v>34</v>
      </c>
      <c r="E612" s="1" t="s">
        <v>15</v>
      </c>
      <c r="F612" s="1" t="s">
        <v>32</v>
      </c>
      <c r="G612" s="2">
        <v>45041</v>
      </c>
      <c r="H612">
        <v>6</v>
      </c>
      <c r="I612">
        <v>23316</v>
      </c>
      <c r="J612" s="1" t="s">
        <v>24</v>
      </c>
      <c r="K612">
        <v>2023</v>
      </c>
      <c r="L612" t="s">
        <v>33</v>
      </c>
      <c r="M612" t="s">
        <v>19</v>
      </c>
      <c r="N612">
        <v>4</v>
      </c>
    </row>
    <row r="613" spans="1:14" x14ac:dyDescent="0.25">
      <c r="A613">
        <v>612</v>
      </c>
      <c r="B613" s="1" t="s">
        <v>20</v>
      </c>
      <c r="C613">
        <v>18</v>
      </c>
      <c r="D613" s="1" t="s">
        <v>45</v>
      </c>
      <c r="E613" s="1" t="s">
        <v>15</v>
      </c>
      <c r="F613" s="1" t="s">
        <v>28</v>
      </c>
      <c r="G613" s="2">
        <v>45178</v>
      </c>
      <c r="H613">
        <v>8</v>
      </c>
      <c r="I613">
        <v>39371</v>
      </c>
      <c r="J613" s="1" t="s">
        <v>39</v>
      </c>
      <c r="K613">
        <v>2023</v>
      </c>
      <c r="L613" t="s">
        <v>44</v>
      </c>
      <c r="M613" t="s">
        <v>29</v>
      </c>
      <c r="N613">
        <v>9</v>
      </c>
    </row>
    <row r="614" spans="1:14" x14ac:dyDescent="0.25">
      <c r="A614">
        <v>613</v>
      </c>
      <c r="B614" s="1" t="s">
        <v>20</v>
      </c>
      <c r="C614">
        <v>85</v>
      </c>
      <c r="D614" s="1" t="s">
        <v>14</v>
      </c>
      <c r="E614" s="1" t="s">
        <v>31</v>
      </c>
      <c r="F614" s="1" t="s">
        <v>23</v>
      </c>
      <c r="G614" s="2">
        <v>44968</v>
      </c>
      <c r="H614">
        <v>10</v>
      </c>
      <c r="I614">
        <v>21162</v>
      </c>
      <c r="J614" s="1" t="s">
        <v>39</v>
      </c>
      <c r="K614">
        <v>2023</v>
      </c>
      <c r="L614" t="s">
        <v>46</v>
      </c>
      <c r="M614" t="s">
        <v>19</v>
      </c>
      <c r="N614">
        <v>2</v>
      </c>
    </row>
    <row r="615" spans="1:14" x14ac:dyDescent="0.25">
      <c r="A615">
        <v>614</v>
      </c>
      <c r="B615" s="1" t="s">
        <v>20</v>
      </c>
      <c r="C615">
        <v>42</v>
      </c>
      <c r="D615" s="1" t="s">
        <v>30</v>
      </c>
      <c r="E615" s="1" t="s">
        <v>22</v>
      </c>
      <c r="F615" s="1" t="s">
        <v>23</v>
      </c>
      <c r="G615" s="2">
        <v>45292</v>
      </c>
      <c r="H615">
        <v>4</v>
      </c>
      <c r="I615">
        <v>17960</v>
      </c>
      <c r="J615" s="1" t="s">
        <v>39</v>
      </c>
      <c r="K615">
        <v>2024</v>
      </c>
      <c r="L615" t="s">
        <v>48</v>
      </c>
      <c r="M615" t="s">
        <v>38</v>
      </c>
      <c r="N615">
        <v>1</v>
      </c>
    </row>
    <row r="616" spans="1:14" x14ac:dyDescent="0.25">
      <c r="A616">
        <v>615</v>
      </c>
      <c r="B616" s="1" t="s">
        <v>20</v>
      </c>
      <c r="C616">
        <v>41</v>
      </c>
      <c r="D616" s="1" t="s">
        <v>21</v>
      </c>
      <c r="E616" s="1" t="s">
        <v>22</v>
      </c>
      <c r="F616" s="1" t="s">
        <v>23</v>
      </c>
      <c r="G616" s="2">
        <v>45229</v>
      </c>
      <c r="H616">
        <v>5</v>
      </c>
      <c r="I616">
        <v>32791</v>
      </c>
      <c r="J616" s="1" t="s">
        <v>24</v>
      </c>
      <c r="K616">
        <v>2023</v>
      </c>
      <c r="L616" t="s">
        <v>41</v>
      </c>
      <c r="M616" t="s">
        <v>38</v>
      </c>
      <c r="N616">
        <v>10</v>
      </c>
    </row>
    <row r="617" spans="1:14" x14ac:dyDescent="0.25">
      <c r="A617">
        <v>616</v>
      </c>
      <c r="B617" s="1" t="s">
        <v>13</v>
      </c>
      <c r="C617">
        <v>38</v>
      </c>
      <c r="D617" s="1" t="s">
        <v>45</v>
      </c>
      <c r="E617" s="1" t="s">
        <v>15</v>
      </c>
      <c r="F617" s="1" t="s">
        <v>23</v>
      </c>
      <c r="G617" s="2">
        <v>44951</v>
      </c>
      <c r="H617">
        <v>4</v>
      </c>
      <c r="I617">
        <v>44230</v>
      </c>
      <c r="J617" s="1" t="s">
        <v>24</v>
      </c>
      <c r="K617">
        <v>2023</v>
      </c>
      <c r="L617" t="s">
        <v>48</v>
      </c>
      <c r="M617" t="s">
        <v>29</v>
      </c>
      <c r="N617">
        <v>1</v>
      </c>
    </row>
    <row r="618" spans="1:14" x14ac:dyDescent="0.25">
      <c r="A618">
        <v>617</v>
      </c>
      <c r="B618" s="1" t="s">
        <v>13</v>
      </c>
      <c r="C618">
        <v>34</v>
      </c>
      <c r="D618" s="1" t="s">
        <v>14</v>
      </c>
      <c r="E618" s="1" t="s">
        <v>27</v>
      </c>
      <c r="F618" s="1" t="s">
        <v>23</v>
      </c>
      <c r="G618" s="2">
        <v>45000</v>
      </c>
      <c r="H618">
        <v>3</v>
      </c>
      <c r="I618">
        <v>27216</v>
      </c>
      <c r="J618" s="1" t="s">
        <v>24</v>
      </c>
      <c r="K618">
        <v>2023</v>
      </c>
      <c r="L618" t="s">
        <v>43</v>
      </c>
      <c r="M618" t="s">
        <v>29</v>
      </c>
      <c r="N618">
        <v>3</v>
      </c>
    </row>
    <row r="619" spans="1:14" x14ac:dyDescent="0.25">
      <c r="A619">
        <v>618</v>
      </c>
      <c r="B619" s="1" t="s">
        <v>20</v>
      </c>
      <c r="C619">
        <v>17</v>
      </c>
      <c r="D619" s="1" t="s">
        <v>34</v>
      </c>
      <c r="E619" s="1" t="s">
        <v>35</v>
      </c>
      <c r="F619" s="1" t="s">
        <v>32</v>
      </c>
      <c r="G619" s="2">
        <v>45276</v>
      </c>
      <c r="H619">
        <v>5</v>
      </c>
      <c r="I619">
        <v>34467</v>
      </c>
      <c r="J619" s="1" t="s">
        <v>39</v>
      </c>
      <c r="K619">
        <v>2023</v>
      </c>
      <c r="L619" t="s">
        <v>26</v>
      </c>
      <c r="M619" t="s">
        <v>25</v>
      </c>
      <c r="N619">
        <v>12</v>
      </c>
    </row>
    <row r="620" spans="1:14" x14ac:dyDescent="0.25">
      <c r="A620">
        <v>619</v>
      </c>
      <c r="B620" s="1" t="s">
        <v>13</v>
      </c>
      <c r="C620">
        <v>37</v>
      </c>
      <c r="D620" s="1" t="s">
        <v>14</v>
      </c>
      <c r="E620" s="1" t="s">
        <v>27</v>
      </c>
      <c r="F620" s="1" t="s">
        <v>16</v>
      </c>
      <c r="G620" s="2">
        <v>45217</v>
      </c>
      <c r="H620">
        <v>14</v>
      </c>
      <c r="I620">
        <v>48934</v>
      </c>
      <c r="J620" s="1" t="s">
        <v>24</v>
      </c>
      <c r="K620">
        <v>2023</v>
      </c>
      <c r="L620" t="s">
        <v>41</v>
      </c>
      <c r="M620" t="s">
        <v>29</v>
      </c>
      <c r="N620">
        <v>10</v>
      </c>
    </row>
    <row r="621" spans="1:14" x14ac:dyDescent="0.25">
      <c r="A621">
        <v>620</v>
      </c>
      <c r="B621" s="1" t="s">
        <v>13</v>
      </c>
      <c r="C621">
        <v>25</v>
      </c>
      <c r="D621" s="1" t="s">
        <v>34</v>
      </c>
      <c r="E621" s="1" t="s">
        <v>27</v>
      </c>
      <c r="F621" s="1" t="s">
        <v>28</v>
      </c>
      <c r="G621" s="2">
        <v>45094</v>
      </c>
      <c r="H621">
        <v>9</v>
      </c>
      <c r="I621">
        <v>9754</v>
      </c>
      <c r="J621" s="1" t="s">
        <v>24</v>
      </c>
      <c r="K621">
        <v>2023</v>
      </c>
      <c r="L621" t="s">
        <v>40</v>
      </c>
      <c r="M621" t="s">
        <v>29</v>
      </c>
      <c r="N621">
        <v>6</v>
      </c>
    </row>
    <row r="622" spans="1:14" x14ac:dyDescent="0.25">
      <c r="A622">
        <v>621</v>
      </c>
      <c r="B622" s="1" t="s">
        <v>20</v>
      </c>
      <c r="C622">
        <v>76</v>
      </c>
      <c r="D622" s="1" t="s">
        <v>45</v>
      </c>
      <c r="E622" s="1" t="s">
        <v>15</v>
      </c>
      <c r="F622" s="1" t="s">
        <v>28</v>
      </c>
      <c r="G622" s="2">
        <v>45048</v>
      </c>
      <c r="H622">
        <v>8</v>
      </c>
      <c r="I622">
        <v>49014</v>
      </c>
      <c r="J622" s="1" t="s">
        <v>24</v>
      </c>
      <c r="K622">
        <v>2023</v>
      </c>
      <c r="L622" t="s">
        <v>42</v>
      </c>
      <c r="M622" t="s">
        <v>19</v>
      </c>
      <c r="N622">
        <v>5</v>
      </c>
    </row>
    <row r="623" spans="1:14" x14ac:dyDescent="0.25">
      <c r="A623">
        <v>622</v>
      </c>
      <c r="B623" s="1" t="s">
        <v>20</v>
      </c>
      <c r="C623">
        <v>87</v>
      </c>
      <c r="D623" s="1" t="s">
        <v>34</v>
      </c>
      <c r="E623" s="1" t="s">
        <v>15</v>
      </c>
      <c r="F623" s="1" t="s">
        <v>23</v>
      </c>
      <c r="G623" s="2">
        <v>45252</v>
      </c>
      <c r="H623">
        <v>8</v>
      </c>
      <c r="I623">
        <v>6078</v>
      </c>
      <c r="J623" s="1" t="s">
        <v>24</v>
      </c>
      <c r="K623">
        <v>2023</v>
      </c>
      <c r="L623" t="s">
        <v>18</v>
      </c>
      <c r="M623" t="s">
        <v>19</v>
      </c>
      <c r="N623">
        <v>11</v>
      </c>
    </row>
    <row r="624" spans="1:14" x14ac:dyDescent="0.25">
      <c r="A624">
        <v>623</v>
      </c>
      <c r="B624" s="1" t="s">
        <v>13</v>
      </c>
      <c r="C624">
        <v>86</v>
      </c>
      <c r="D624" s="1" t="s">
        <v>37</v>
      </c>
      <c r="E624" s="1" t="s">
        <v>15</v>
      </c>
      <c r="F624" s="1" t="s">
        <v>28</v>
      </c>
      <c r="G624" s="2">
        <v>45265</v>
      </c>
      <c r="H624">
        <v>8</v>
      </c>
      <c r="I624">
        <v>14853</v>
      </c>
      <c r="J624" s="1" t="s">
        <v>24</v>
      </c>
      <c r="K624">
        <v>2023</v>
      </c>
      <c r="L624" t="s">
        <v>26</v>
      </c>
      <c r="M624" t="s">
        <v>19</v>
      </c>
      <c r="N624">
        <v>12</v>
      </c>
    </row>
    <row r="625" spans="1:14" x14ac:dyDescent="0.25">
      <c r="A625">
        <v>624</v>
      </c>
      <c r="B625" s="1" t="s">
        <v>20</v>
      </c>
      <c r="C625">
        <v>85</v>
      </c>
      <c r="D625" s="1" t="s">
        <v>37</v>
      </c>
      <c r="E625" s="1" t="s">
        <v>31</v>
      </c>
      <c r="F625" s="1" t="s">
        <v>23</v>
      </c>
      <c r="G625" s="2">
        <v>45198</v>
      </c>
      <c r="H625">
        <v>12</v>
      </c>
      <c r="I625">
        <v>6042</v>
      </c>
      <c r="J625" s="1" t="s">
        <v>24</v>
      </c>
      <c r="K625">
        <v>2023</v>
      </c>
      <c r="L625" t="s">
        <v>44</v>
      </c>
      <c r="M625" t="s">
        <v>19</v>
      </c>
      <c r="N625">
        <v>9</v>
      </c>
    </row>
    <row r="626" spans="1:14" x14ac:dyDescent="0.25">
      <c r="A626">
        <v>625</v>
      </c>
      <c r="B626" s="1" t="s">
        <v>13</v>
      </c>
      <c r="C626">
        <v>27</v>
      </c>
      <c r="D626" s="1" t="s">
        <v>37</v>
      </c>
      <c r="E626" s="1" t="s">
        <v>27</v>
      </c>
      <c r="F626" s="1" t="s">
        <v>32</v>
      </c>
      <c r="G626" s="2">
        <v>45056</v>
      </c>
      <c r="H626">
        <v>8</v>
      </c>
      <c r="I626">
        <v>16389</v>
      </c>
      <c r="J626" s="1" t="s">
        <v>24</v>
      </c>
      <c r="K626">
        <v>2023</v>
      </c>
      <c r="L626" t="s">
        <v>42</v>
      </c>
      <c r="M626" t="s">
        <v>29</v>
      </c>
      <c r="N626">
        <v>5</v>
      </c>
    </row>
    <row r="627" spans="1:14" x14ac:dyDescent="0.25">
      <c r="A627">
        <v>626</v>
      </c>
      <c r="B627" s="1" t="s">
        <v>20</v>
      </c>
      <c r="C627">
        <v>57</v>
      </c>
      <c r="D627" s="1" t="s">
        <v>30</v>
      </c>
      <c r="E627" s="1" t="s">
        <v>22</v>
      </c>
      <c r="F627" s="1" t="s">
        <v>32</v>
      </c>
      <c r="G627" s="2">
        <v>45156</v>
      </c>
      <c r="H627">
        <v>7</v>
      </c>
      <c r="I627">
        <v>32425</v>
      </c>
      <c r="J627" s="1" t="s">
        <v>24</v>
      </c>
      <c r="K627">
        <v>2023</v>
      </c>
      <c r="L627" t="s">
        <v>47</v>
      </c>
      <c r="M627" t="s">
        <v>38</v>
      </c>
      <c r="N627">
        <v>8</v>
      </c>
    </row>
    <row r="628" spans="1:14" x14ac:dyDescent="0.25">
      <c r="A628">
        <v>627</v>
      </c>
      <c r="B628" s="1" t="s">
        <v>13</v>
      </c>
      <c r="C628">
        <v>31</v>
      </c>
      <c r="D628" s="1" t="s">
        <v>45</v>
      </c>
      <c r="E628" s="1" t="s">
        <v>35</v>
      </c>
      <c r="F628" s="1" t="s">
        <v>16</v>
      </c>
      <c r="G628" s="2">
        <v>45101</v>
      </c>
      <c r="H628">
        <v>8</v>
      </c>
      <c r="I628">
        <v>4575</v>
      </c>
      <c r="J628" s="1" t="s">
        <v>39</v>
      </c>
      <c r="K628">
        <v>2023</v>
      </c>
      <c r="L628" t="s">
        <v>40</v>
      </c>
      <c r="M628" t="s">
        <v>29</v>
      </c>
      <c r="N628">
        <v>6</v>
      </c>
    </row>
    <row r="629" spans="1:14" x14ac:dyDescent="0.25">
      <c r="A629">
        <v>628</v>
      </c>
      <c r="B629" s="1" t="s">
        <v>20</v>
      </c>
      <c r="C629">
        <v>6</v>
      </c>
      <c r="D629" s="1" t="s">
        <v>14</v>
      </c>
      <c r="E629" s="1" t="s">
        <v>31</v>
      </c>
      <c r="F629" s="1" t="s">
        <v>32</v>
      </c>
      <c r="G629" s="2">
        <v>45180</v>
      </c>
      <c r="H629">
        <v>11</v>
      </c>
      <c r="I629">
        <v>41522</v>
      </c>
      <c r="J629" s="1" t="s">
        <v>39</v>
      </c>
      <c r="K629">
        <v>2023</v>
      </c>
      <c r="L629" t="s">
        <v>44</v>
      </c>
      <c r="M629" t="s">
        <v>25</v>
      </c>
      <c r="N629">
        <v>9</v>
      </c>
    </row>
    <row r="630" spans="1:14" x14ac:dyDescent="0.25">
      <c r="A630">
        <v>629</v>
      </c>
      <c r="B630" s="1" t="s">
        <v>13</v>
      </c>
      <c r="C630">
        <v>40</v>
      </c>
      <c r="D630" s="1" t="s">
        <v>14</v>
      </c>
      <c r="E630" s="1" t="s">
        <v>22</v>
      </c>
      <c r="F630" s="1" t="s">
        <v>32</v>
      </c>
      <c r="G630" s="2">
        <v>45092</v>
      </c>
      <c r="H630">
        <v>14</v>
      </c>
      <c r="I630">
        <v>30179</v>
      </c>
      <c r="J630" s="1" t="s">
        <v>24</v>
      </c>
      <c r="K630">
        <v>2023</v>
      </c>
      <c r="L630" t="s">
        <v>40</v>
      </c>
      <c r="M630" t="s">
        <v>38</v>
      </c>
      <c r="N630">
        <v>6</v>
      </c>
    </row>
    <row r="631" spans="1:14" x14ac:dyDescent="0.25">
      <c r="A631">
        <v>630</v>
      </c>
      <c r="B631" s="1" t="s">
        <v>13</v>
      </c>
      <c r="C631">
        <v>12</v>
      </c>
      <c r="D631" s="1" t="s">
        <v>30</v>
      </c>
      <c r="E631" s="1" t="s">
        <v>27</v>
      </c>
      <c r="F631" s="1" t="s">
        <v>16</v>
      </c>
      <c r="G631" s="2">
        <v>44929</v>
      </c>
      <c r="H631">
        <v>8</v>
      </c>
      <c r="I631">
        <v>36754</v>
      </c>
      <c r="J631" s="1" t="s">
        <v>39</v>
      </c>
      <c r="K631">
        <v>2023</v>
      </c>
      <c r="L631" t="s">
        <v>48</v>
      </c>
      <c r="M631" t="s">
        <v>25</v>
      </c>
      <c r="N631">
        <v>1</v>
      </c>
    </row>
    <row r="632" spans="1:14" x14ac:dyDescent="0.25">
      <c r="A632">
        <v>631</v>
      </c>
      <c r="B632" s="1" t="s">
        <v>13</v>
      </c>
      <c r="C632">
        <v>53</v>
      </c>
      <c r="D632" s="1" t="s">
        <v>34</v>
      </c>
      <c r="E632" s="1" t="s">
        <v>15</v>
      </c>
      <c r="F632" s="1" t="s">
        <v>28</v>
      </c>
      <c r="G632" s="2">
        <v>45217</v>
      </c>
      <c r="H632">
        <v>13</v>
      </c>
      <c r="I632">
        <v>20624</v>
      </c>
      <c r="J632" s="1" t="s">
        <v>24</v>
      </c>
      <c r="K632">
        <v>2023</v>
      </c>
      <c r="L632" t="s">
        <v>41</v>
      </c>
      <c r="M632" t="s">
        <v>38</v>
      </c>
      <c r="N632">
        <v>10</v>
      </c>
    </row>
    <row r="633" spans="1:14" x14ac:dyDescent="0.25">
      <c r="A633">
        <v>632</v>
      </c>
      <c r="B633" s="1" t="s">
        <v>20</v>
      </c>
      <c r="C633">
        <v>71</v>
      </c>
      <c r="D633" s="1" t="s">
        <v>30</v>
      </c>
      <c r="E633" s="1" t="s">
        <v>27</v>
      </c>
      <c r="F633" s="1" t="s">
        <v>23</v>
      </c>
      <c r="G633" s="2">
        <v>45030</v>
      </c>
      <c r="H633">
        <v>14</v>
      </c>
      <c r="I633">
        <v>22350</v>
      </c>
      <c r="J633" s="1" t="s">
        <v>24</v>
      </c>
      <c r="K633">
        <v>2023</v>
      </c>
      <c r="L633" t="s">
        <v>33</v>
      </c>
      <c r="M633" t="s">
        <v>19</v>
      </c>
      <c r="N633">
        <v>4</v>
      </c>
    </row>
    <row r="634" spans="1:14" x14ac:dyDescent="0.25">
      <c r="A634">
        <v>633</v>
      </c>
      <c r="B634" s="1" t="s">
        <v>13</v>
      </c>
      <c r="C634">
        <v>10</v>
      </c>
      <c r="D634" s="1" t="s">
        <v>34</v>
      </c>
      <c r="E634" s="1" t="s">
        <v>35</v>
      </c>
      <c r="F634" s="1" t="s">
        <v>23</v>
      </c>
      <c r="G634" s="2">
        <v>45257</v>
      </c>
      <c r="H634">
        <v>8</v>
      </c>
      <c r="I634">
        <v>28681</v>
      </c>
      <c r="J634" s="1" t="s">
        <v>39</v>
      </c>
      <c r="K634">
        <v>2023</v>
      </c>
      <c r="L634" t="s">
        <v>18</v>
      </c>
      <c r="M634" t="s">
        <v>25</v>
      </c>
      <c r="N634">
        <v>11</v>
      </c>
    </row>
    <row r="635" spans="1:14" x14ac:dyDescent="0.25">
      <c r="A635">
        <v>634</v>
      </c>
      <c r="B635" s="1" t="s">
        <v>13</v>
      </c>
      <c r="C635">
        <v>45</v>
      </c>
      <c r="D635" s="1" t="s">
        <v>34</v>
      </c>
      <c r="E635" s="1" t="s">
        <v>31</v>
      </c>
      <c r="F635" s="1" t="s">
        <v>28</v>
      </c>
      <c r="G635" s="2">
        <v>45169</v>
      </c>
      <c r="H635">
        <v>12</v>
      </c>
      <c r="I635">
        <v>25988</v>
      </c>
      <c r="J635" s="1" t="s">
        <v>39</v>
      </c>
      <c r="K635">
        <v>2023</v>
      </c>
      <c r="L635" t="s">
        <v>47</v>
      </c>
      <c r="M635" t="s">
        <v>38</v>
      </c>
      <c r="N635">
        <v>8</v>
      </c>
    </row>
    <row r="636" spans="1:14" x14ac:dyDescent="0.25">
      <c r="A636">
        <v>635</v>
      </c>
      <c r="B636" s="1" t="s">
        <v>20</v>
      </c>
      <c r="C636">
        <v>17</v>
      </c>
      <c r="D636" s="1" t="s">
        <v>21</v>
      </c>
      <c r="E636" s="1" t="s">
        <v>31</v>
      </c>
      <c r="F636" s="1" t="s">
        <v>16</v>
      </c>
      <c r="G636" s="2">
        <v>45050</v>
      </c>
      <c r="H636">
        <v>10</v>
      </c>
      <c r="I636">
        <v>17470</v>
      </c>
      <c r="J636" s="1" t="s">
        <v>39</v>
      </c>
      <c r="K636">
        <v>2023</v>
      </c>
      <c r="L636" t="s">
        <v>42</v>
      </c>
      <c r="M636" t="s">
        <v>25</v>
      </c>
      <c r="N636">
        <v>5</v>
      </c>
    </row>
    <row r="637" spans="1:14" x14ac:dyDescent="0.25">
      <c r="A637">
        <v>636</v>
      </c>
      <c r="B637" s="1" t="s">
        <v>20</v>
      </c>
      <c r="C637">
        <v>26</v>
      </c>
      <c r="D637" s="1" t="s">
        <v>14</v>
      </c>
      <c r="E637" s="1" t="s">
        <v>35</v>
      </c>
      <c r="F637" s="1" t="s">
        <v>28</v>
      </c>
      <c r="G637" s="2">
        <v>45168</v>
      </c>
      <c r="H637">
        <v>7</v>
      </c>
      <c r="I637">
        <v>26704</v>
      </c>
      <c r="J637" s="1" t="s">
        <v>24</v>
      </c>
      <c r="K637">
        <v>2023</v>
      </c>
      <c r="L637" t="s">
        <v>47</v>
      </c>
      <c r="M637" t="s">
        <v>29</v>
      </c>
      <c r="N637">
        <v>8</v>
      </c>
    </row>
    <row r="638" spans="1:14" x14ac:dyDescent="0.25">
      <c r="A638">
        <v>637</v>
      </c>
      <c r="B638" s="1" t="s">
        <v>13</v>
      </c>
      <c r="C638">
        <v>85</v>
      </c>
      <c r="D638" s="1" t="s">
        <v>37</v>
      </c>
      <c r="E638" s="1" t="s">
        <v>22</v>
      </c>
      <c r="F638" s="1" t="s">
        <v>32</v>
      </c>
      <c r="G638" s="2">
        <v>45263</v>
      </c>
      <c r="H638">
        <v>12</v>
      </c>
      <c r="I638">
        <v>40736</v>
      </c>
      <c r="J638" s="1" t="s">
        <v>24</v>
      </c>
      <c r="K638">
        <v>2023</v>
      </c>
      <c r="L638" t="s">
        <v>26</v>
      </c>
      <c r="M638" t="s">
        <v>19</v>
      </c>
      <c r="N638">
        <v>12</v>
      </c>
    </row>
    <row r="639" spans="1:14" x14ac:dyDescent="0.25">
      <c r="A639">
        <v>638</v>
      </c>
      <c r="B639" s="1" t="s">
        <v>13</v>
      </c>
      <c r="C639">
        <v>62</v>
      </c>
      <c r="D639" s="1" t="s">
        <v>34</v>
      </c>
      <c r="E639" s="1" t="s">
        <v>22</v>
      </c>
      <c r="F639" s="1" t="s">
        <v>16</v>
      </c>
      <c r="G639" s="2">
        <v>44939</v>
      </c>
      <c r="H639">
        <v>1</v>
      </c>
      <c r="I639">
        <v>31377</v>
      </c>
      <c r="J639" s="1" t="s">
        <v>39</v>
      </c>
      <c r="K639">
        <v>2023</v>
      </c>
      <c r="L639" t="s">
        <v>48</v>
      </c>
      <c r="M639" t="s">
        <v>19</v>
      </c>
      <c r="N639">
        <v>1</v>
      </c>
    </row>
    <row r="640" spans="1:14" x14ac:dyDescent="0.25">
      <c r="A640">
        <v>639</v>
      </c>
      <c r="B640" s="1" t="s">
        <v>20</v>
      </c>
      <c r="C640">
        <v>46</v>
      </c>
      <c r="D640" s="1" t="s">
        <v>21</v>
      </c>
      <c r="E640" s="1" t="s">
        <v>31</v>
      </c>
      <c r="F640" s="1" t="s">
        <v>16</v>
      </c>
      <c r="G640" s="2">
        <v>45201</v>
      </c>
      <c r="H640">
        <v>4</v>
      </c>
      <c r="I640">
        <v>30572</v>
      </c>
      <c r="J640" s="1" t="s">
        <v>24</v>
      </c>
      <c r="K640">
        <v>2023</v>
      </c>
      <c r="L640" t="s">
        <v>41</v>
      </c>
      <c r="M640" t="s">
        <v>38</v>
      </c>
      <c r="N640">
        <v>10</v>
      </c>
    </row>
    <row r="641" spans="1:14" x14ac:dyDescent="0.25">
      <c r="A641">
        <v>640</v>
      </c>
      <c r="B641" s="1" t="s">
        <v>20</v>
      </c>
      <c r="C641">
        <v>64</v>
      </c>
      <c r="D641" s="1" t="s">
        <v>14</v>
      </c>
      <c r="E641" s="1" t="s">
        <v>31</v>
      </c>
      <c r="F641" s="1" t="s">
        <v>16</v>
      </c>
      <c r="G641" s="2">
        <v>45257</v>
      </c>
      <c r="H641">
        <v>13</v>
      </c>
      <c r="I641">
        <v>9493</v>
      </c>
      <c r="J641" s="1" t="s">
        <v>24</v>
      </c>
      <c r="K641">
        <v>2023</v>
      </c>
      <c r="L641" t="s">
        <v>18</v>
      </c>
      <c r="M641" t="s">
        <v>19</v>
      </c>
      <c r="N641">
        <v>11</v>
      </c>
    </row>
    <row r="642" spans="1:14" x14ac:dyDescent="0.25">
      <c r="A642">
        <v>641</v>
      </c>
      <c r="B642" s="1" t="s">
        <v>20</v>
      </c>
      <c r="C642">
        <v>2</v>
      </c>
      <c r="D642" s="1" t="s">
        <v>37</v>
      </c>
      <c r="E642" s="1" t="s">
        <v>15</v>
      </c>
      <c r="F642" s="1" t="s">
        <v>23</v>
      </c>
      <c r="G642" s="2">
        <v>45243</v>
      </c>
      <c r="H642">
        <v>13</v>
      </c>
      <c r="I642">
        <v>6103</v>
      </c>
      <c r="J642" s="1" t="s">
        <v>39</v>
      </c>
      <c r="K642">
        <v>2023</v>
      </c>
      <c r="L642" t="s">
        <v>18</v>
      </c>
      <c r="M642" t="s">
        <v>25</v>
      </c>
      <c r="N642">
        <v>11</v>
      </c>
    </row>
    <row r="643" spans="1:14" x14ac:dyDescent="0.25">
      <c r="A643">
        <v>642</v>
      </c>
      <c r="B643" s="1" t="s">
        <v>20</v>
      </c>
      <c r="C643">
        <v>54</v>
      </c>
      <c r="D643" s="1" t="s">
        <v>34</v>
      </c>
      <c r="E643" s="1" t="s">
        <v>22</v>
      </c>
      <c r="F643" s="1" t="s">
        <v>28</v>
      </c>
      <c r="G643" s="2">
        <v>45283</v>
      </c>
      <c r="H643">
        <v>4</v>
      </c>
      <c r="I643">
        <v>36844</v>
      </c>
      <c r="J643" s="1" t="s">
        <v>39</v>
      </c>
      <c r="K643">
        <v>2023</v>
      </c>
      <c r="L643" t="s">
        <v>26</v>
      </c>
      <c r="M643" t="s">
        <v>38</v>
      </c>
      <c r="N643">
        <v>12</v>
      </c>
    </row>
    <row r="644" spans="1:14" x14ac:dyDescent="0.25">
      <c r="A644">
        <v>643</v>
      </c>
      <c r="B644" s="1" t="s">
        <v>20</v>
      </c>
      <c r="C644">
        <v>65</v>
      </c>
      <c r="D644" s="1" t="s">
        <v>34</v>
      </c>
      <c r="E644" s="1" t="s">
        <v>35</v>
      </c>
      <c r="F644" s="1" t="s">
        <v>16</v>
      </c>
      <c r="G644" s="2">
        <v>45232</v>
      </c>
      <c r="H644">
        <v>5</v>
      </c>
      <c r="I644">
        <v>4994</v>
      </c>
      <c r="J644" s="1" t="s">
        <v>39</v>
      </c>
      <c r="K644">
        <v>2023</v>
      </c>
      <c r="L644" t="s">
        <v>18</v>
      </c>
      <c r="M644" t="s">
        <v>19</v>
      </c>
      <c r="N644">
        <v>11</v>
      </c>
    </row>
    <row r="645" spans="1:14" x14ac:dyDescent="0.25">
      <c r="A645">
        <v>644</v>
      </c>
      <c r="B645" s="1" t="s">
        <v>13</v>
      </c>
      <c r="C645">
        <v>51</v>
      </c>
      <c r="D645" s="1" t="s">
        <v>30</v>
      </c>
      <c r="E645" s="1" t="s">
        <v>22</v>
      </c>
      <c r="F645" s="1" t="s">
        <v>16</v>
      </c>
      <c r="G645" s="2">
        <v>45253</v>
      </c>
      <c r="H645">
        <v>10</v>
      </c>
      <c r="I645">
        <v>5744</v>
      </c>
      <c r="J645" s="1" t="s">
        <v>24</v>
      </c>
      <c r="K645">
        <v>2023</v>
      </c>
      <c r="L645" t="s">
        <v>18</v>
      </c>
      <c r="M645" t="s">
        <v>38</v>
      </c>
      <c r="N645">
        <v>11</v>
      </c>
    </row>
    <row r="646" spans="1:14" x14ac:dyDescent="0.25">
      <c r="A646">
        <v>645</v>
      </c>
      <c r="B646" s="1" t="s">
        <v>20</v>
      </c>
      <c r="C646">
        <v>53</v>
      </c>
      <c r="D646" s="1" t="s">
        <v>30</v>
      </c>
      <c r="E646" s="1" t="s">
        <v>15</v>
      </c>
      <c r="F646" s="1" t="s">
        <v>16</v>
      </c>
      <c r="G646" s="2">
        <v>45069</v>
      </c>
      <c r="H646">
        <v>6</v>
      </c>
      <c r="I646">
        <v>49234</v>
      </c>
      <c r="J646" s="1" t="s">
        <v>39</v>
      </c>
      <c r="K646">
        <v>2023</v>
      </c>
      <c r="L646" t="s">
        <v>42</v>
      </c>
      <c r="M646" t="s">
        <v>38</v>
      </c>
      <c r="N646">
        <v>5</v>
      </c>
    </row>
    <row r="647" spans="1:14" x14ac:dyDescent="0.25">
      <c r="A647">
        <v>646</v>
      </c>
      <c r="B647" s="1" t="s">
        <v>13</v>
      </c>
      <c r="C647">
        <v>36</v>
      </c>
      <c r="D647" s="1" t="s">
        <v>14</v>
      </c>
      <c r="E647" s="1" t="s">
        <v>31</v>
      </c>
      <c r="F647" s="1" t="s">
        <v>28</v>
      </c>
      <c r="G647" s="2">
        <v>45271</v>
      </c>
      <c r="H647">
        <v>4</v>
      </c>
      <c r="I647">
        <v>49291</v>
      </c>
      <c r="J647" s="1" t="s">
        <v>24</v>
      </c>
      <c r="K647">
        <v>2023</v>
      </c>
      <c r="L647" t="s">
        <v>26</v>
      </c>
      <c r="M647" t="s">
        <v>29</v>
      </c>
      <c r="N647">
        <v>12</v>
      </c>
    </row>
    <row r="648" spans="1:14" x14ac:dyDescent="0.25">
      <c r="A648">
        <v>647</v>
      </c>
      <c r="B648" s="1" t="s">
        <v>13</v>
      </c>
      <c r="C648">
        <v>26</v>
      </c>
      <c r="D648" s="1" t="s">
        <v>37</v>
      </c>
      <c r="E648" s="1" t="s">
        <v>31</v>
      </c>
      <c r="F648" s="1" t="s">
        <v>23</v>
      </c>
      <c r="G648" s="2">
        <v>45142</v>
      </c>
      <c r="H648">
        <v>2</v>
      </c>
      <c r="I648">
        <v>29332</v>
      </c>
      <c r="J648" s="1" t="s">
        <v>24</v>
      </c>
      <c r="K648">
        <v>2023</v>
      </c>
      <c r="L648" t="s">
        <v>47</v>
      </c>
      <c r="M648" t="s">
        <v>29</v>
      </c>
      <c r="N648">
        <v>8</v>
      </c>
    </row>
    <row r="649" spans="1:14" x14ac:dyDescent="0.25">
      <c r="A649">
        <v>648</v>
      </c>
      <c r="B649" s="1" t="s">
        <v>13</v>
      </c>
      <c r="C649">
        <v>29</v>
      </c>
      <c r="D649" s="1" t="s">
        <v>34</v>
      </c>
      <c r="E649" s="1" t="s">
        <v>15</v>
      </c>
      <c r="F649" s="1" t="s">
        <v>32</v>
      </c>
      <c r="G649" s="2">
        <v>45255</v>
      </c>
      <c r="H649">
        <v>6</v>
      </c>
      <c r="I649">
        <v>7594</v>
      </c>
      <c r="J649" s="1" t="s">
        <v>24</v>
      </c>
      <c r="K649">
        <v>2023</v>
      </c>
      <c r="L649" t="s">
        <v>18</v>
      </c>
      <c r="M649" t="s">
        <v>29</v>
      </c>
      <c r="N649">
        <v>11</v>
      </c>
    </row>
    <row r="650" spans="1:14" x14ac:dyDescent="0.25">
      <c r="A650">
        <v>649</v>
      </c>
      <c r="B650" s="1" t="s">
        <v>20</v>
      </c>
      <c r="C650">
        <v>21</v>
      </c>
      <c r="D650" s="1" t="s">
        <v>14</v>
      </c>
      <c r="E650" s="1" t="s">
        <v>35</v>
      </c>
      <c r="F650" s="1" t="s">
        <v>23</v>
      </c>
      <c r="G650" s="2">
        <v>45228</v>
      </c>
      <c r="H650">
        <v>8</v>
      </c>
      <c r="I650">
        <v>42299</v>
      </c>
      <c r="J650" s="1" t="s">
        <v>24</v>
      </c>
      <c r="K650">
        <v>2023</v>
      </c>
      <c r="L650" t="s">
        <v>41</v>
      </c>
      <c r="M650" t="s">
        <v>29</v>
      </c>
      <c r="N650">
        <v>10</v>
      </c>
    </row>
    <row r="651" spans="1:14" x14ac:dyDescent="0.25">
      <c r="A651">
        <v>650</v>
      </c>
      <c r="B651" s="1" t="s">
        <v>13</v>
      </c>
      <c r="C651">
        <v>11</v>
      </c>
      <c r="D651" s="1" t="s">
        <v>14</v>
      </c>
      <c r="E651" s="1" t="s">
        <v>31</v>
      </c>
      <c r="F651" s="1" t="s">
        <v>16</v>
      </c>
      <c r="G651" s="2">
        <v>45032</v>
      </c>
      <c r="H651">
        <v>8</v>
      </c>
      <c r="I651">
        <v>9371</v>
      </c>
      <c r="J651" s="1" t="s">
        <v>24</v>
      </c>
      <c r="K651">
        <v>2023</v>
      </c>
      <c r="L651" t="s">
        <v>33</v>
      </c>
      <c r="M651" t="s">
        <v>25</v>
      </c>
      <c r="N651">
        <v>4</v>
      </c>
    </row>
    <row r="652" spans="1:14" x14ac:dyDescent="0.25">
      <c r="A652">
        <v>651</v>
      </c>
      <c r="B652" s="1" t="s">
        <v>13</v>
      </c>
      <c r="C652">
        <v>40</v>
      </c>
      <c r="D652" s="1" t="s">
        <v>45</v>
      </c>
      <c r="E652" s="1" t="s">
        <v>27</v>
      </c>
      <c r="F652" s="1" t="s">
        <v>23</v>
      </c>
      <c r="G652" s="2">
        <v>44960</v>
      </c>
      <c r="H652">
        <v>7</v>
      </c>
      <c r="I652">
        <v>49315</v>
      </c>
      <c r="J652" s="1" t="s">
        <v>24</v>
      </c>
      <c r="K652">
        <v>2023</v>
      </c>
      <c r="L652" t="s">
        <v>46</v>
      </c>
      <c r="M652" t="s">
        <v>38</v>
      </c>
      <c r="N652">
        <v>2</v>
      </c>
    </row>
    <row r="653" spans="1:14" x14ac:dyDescent="0.25">
      <c r="A653">
        <v>652</v>
      </c>
      <c r="B653" s="1" t="s">
        <v>20</v>
      </c>
      <c r="C653">
        <v>11</v>
      </c>
      <c r="D653" s="1" t="s">
        <v>30</v>
      </c>
      <c r="E653" s="1" t="s">
        <v>31</v>
      </c>
      <c r="F653" s="1" t="s">
        <v>23</v>
      </c>
      <c r="G653" s="2">
        <v>45267</v>
      </c>
      <c r="H653">
        <v>6</v>
      </c>
      <c r="I653">
        <v>20028</v>
      </c>
      <c r="J653" s="1" t="s">
        <v>24</v>
      </c>
      <c r="K653">
        <v>2023</v>
      </c>
      <c r="L653" t="s">
        <v>26</v>
      </c>
      <c r="M653" t="s">
        <v>25</v>
      </c>
      <c r="N653">
        <v>12</v>
      </c>
    </row>
    <row r="654" spans="1:14" x14ac:dyDescent="0.25">
      <c r="A654">
        <v>653</v>
      </c>
      <c r="B654" s="1" t="s">
        <v>13</v>
      </c>
      <c r="C654">
        <v>36</v>
      </c>
      <c r="D654" s="1" t="s">
        <v>37</v>
      </c>
      <c r="E654" s="1" t="s">
        <v>27</v>
      </c>
      <c r="F654" s="1" t="s">
        <v>32</v>
      </c>
      <c r="G654" s="2">
        <v>45087</v>
      </c>
      <c r="H654">
        <v>2</v>
      </c>
      <c r="I654">
        <v>37912</v>
      </c>
      <c r="J654" s="1" t="s">
        <v>24</v>
      </c>
      <c r="K654">
        <v>2023</v>
      </c>
      <c r="L654" t="s">
        <v>40</v>
      </c>
      <c r="M654" t="s">
        <v>29</v>
      </c>
      <c r="N654">
        <v>6</v>
      </c>
    </row>
    <row r="655" spans="1:14" x14ac:dyDescent="0.25">
      <c r="A655">
        <v>654</v>
      </c>
      <c r="B655" s="1" t="s">
        <v>13</v>
      </c>
      <c r="C655">
        <v>59</v>
      </c>
      <c r="D655" s="1" t="s">
        <v>34</v>
      </c>
      <c r="E655" s="1" t="s">
        <v>15</v>
      </c>
      <c r="F655" s="1" t="s">
        <v>28</v>
      </c>
      <c r="G655" s="2">
        <v>44953</v>
      </c>
      <c r="H655">
        <v>7</v>
      </c>
      <c r="I655">
        <v>15990</v>
      </c>
      <c r="J655" s="1" t="s">
        <v>24</v>
      </c>
      <c r="K655">
        <v>2023</v>
      </c>
      <c r="L655" t="s">
        <v>48</v>
      </c>
      <c r="M655" t="s">
        <v>38</v>
      </c>
      <c r="N655">
        <v>1</v>
      </c>
    </row>
    <row r="656" spans="1:14" x14ac:dyDescent="0.25">
      <c r="A656">
        <v>655</v>
      </c>
      <c r="B656" s="1" t="s">
        <v>20</v>
      </c>
      <c r="C656">
        <v>39</v>
      </c>
      <c r="D656" s="1" t="s">
        <v>14</v>
      </c>
      <c r="E656" s="1" t="s">
        <v>15</v>
      </c>
      <c r="F656" s="1" t="s">
        <v>28</v>
      </c>
      <c r="G656" s="2">
        <v>45129</v>
      </c>
      <c r="H656">
        <v>11</v>
      </c>
      <c r="I656">
        <v>48851</v>
      </c>
      <c r="J656" s="1" t="s">
        <v>24</v>
      </c>
      <c r="K656">
        <v>2023</v>
      </c>
      <c r="L656" t="s">
        <v>36</v>
      </c>
      <c r="M656" t="s">
        <v>29</v>
      </c>
      <c r="N656">
        <v>7</v>
      </c>
    </row>
    <row r="657" spans="1:14" x14ac:dyDescent="0.25">
      <c r="A657">
        <v>656</v>
      </c>
      <c r="B657" s="1" t="s">
        <v>13</v>
      </c>
      <c r="C657">
        <v>54</v>
      </c>
      <c r="D657" s="1" t="s">
        <v>34</v>
      </c>
      <c r="E657" s="1" t="s">
        <v>31</v>
      </c>
      <c r="F657" s="1" t="s">
        <v>23</v>
      </c>
      <c r="G657" s="2">
        <v>45244</v>
      </c>
      <c r="H657">
        <v>12</v>
      </c>
      <c r="I657">
        <v>18626</v>
      </c>
      <c r="J657" s="1" t="s">
        <v>24</v>
      </c>
      <c r="K657">
        <v>2023</v>
      </c>
      <c r="L657" t="s">
        <v>18</v>
      </c>
      <c r="M657" t="s">
        <v>38</v>
      </c>
      <c r="N657">
        <v>11</v>
      </c>
    </row>
    <row r="658" spans="1:14" x14ac:dyDescent="0.25">
      <c r="A658">
        <v>657</v>
      </c>
      <c r="B658" s="1" t="s">
        <v>13</v>
      </c>
      <c r="C658">
        <v>55</v>
      </c>
      <c r="D658" s="1" t="s">
        <v>45</v>
      </c>
      <c r="E658" s="1" t="s">
        <v>22</v>
      </c>
      <c r="F658" s="1" t="s">
        <v>23</v>
      </c>
      <c r="G658" s="2">
        <v>45255</v>
      </c>
      <c r="H658">
        <v>14</v>
      </c>
      <c r="I658">
        <v>22469</v>
      </c>
      <c r="J658" s="1" t="s">
        <v>39</v>
      </c>
      <c r="K658">
        <v>2023</v>
      </c>
      <c r="L658" t="s">
        <v>18</v>
      </c>
      <c r="M658" t="s">
        <v>38</v>
      </c>
      <c r="N658">
        <v>11</v>
      </c>
    </row>
    <row r="659" spans="1:14" x14ac:dyDescent="0.25">
      <c r="A659">
        <v>658</v>
      </c>
      <c r="B659" s="1" t="s">
        <v>13</v>
      </c>
      <c r="C659">
        <v>24</v>
      </c>
      <c r="D659" s="1" t="s">
        <v>37</v>
      </c>
      <c r="E659" s="1" t="s">
        <v>27</v>
      </c>
      <c r="F659" s="1" t="s">
        <v>28</v>
      </c>
      <c r="G659" s="2">
        <v>45285</v>
      </c>
      <c r="H659">
        <v>14</v>
      </c>
      <c r="I659">
        <v>42722</v>
      </c>
      <c r="J659" s="1" t="s">
        <v>39</v>
      </c>
      <c r="K659">
        <v>2023</v>
      </c>
      <c r="L659" t="s">
        <v>26</v>
      </c>
      <c r="M659" t="s">
        <v>29</v>
      </c>
      <c r="N659">
        <v>12</v>
      </c>
    </row>
    <row r="660" spans="1:14" x14ac:dyDescent="0.25">
      <c r="A660">
        <v>659</v>
      </c>
      <c r="B660" s="1" t="s">
        <v>20</v>
      </c>
      <c r="C660">
        <v>22</v>
      </c>
      <c r="D660" s="1" t="s">
        <v>14</v>
      </c>
      <c r="E660" s="1" t="s">
        <v>35</v>
      </c>
      <c r="F660" s="1" t="s">
        <v>28</v>
      </c>
      <c r="G660" s="2">
        <v>45291</v>
      </c>
      <c r="H660">
        <v>5</v>
      </c>
      <c r="I660">
        <v>42037</v>
      </c>
      <c r="J660" s="1" t="s">
        <v>24</v>
      </c>
      <c r="K660">
        <v>2023</v>
      </c>
      <c r="L660" t="s">
        <v>26</v>
      </c>
      <c r="M660" t="s">
        <v>29</v>
      </c>
      <c r="N660">
        <v>12</v>
      </c>
    </row>
    <row r="661" spans="1:14" x14ac:dyDescent="0.25">
      <c r="A661">
        <v>660</v>
      </c>
      <c r="B661" s="1" t="s">
        <v>20</v>
      </c>
      <c r="C661">
        <v>69</v>
      </c>
      <c r="D661" s="1" t="s">
        <v>34</v>
      </c>
      <c r="E661" s="1" t="s">
        <v>31</v>
      </c>
      <c r="F661" s="1" t="s">
        <v>32</v>
      </c>
      <c r="G661" s="2">
        <v>44960</v>
      </c>
      <c r="H661">
        <v>6</v>
      </c>
      <c r="I661">
        <v>9130</v>
      </c>
      <c r="J661" s="1" t="s">
        <v>39</v>
      </c>
      <c r="K661">
        <v>2023</v>
      </c>
      <c r="L661" t="s">
        <v>46</v>
      </c>
      <c r="M661" t="s">
        <v>19</v>
      </c>
      <c r="N661">
        <v>2</v>
      </c>
    </row>
    <row r="662" spans="1:14" x14ac:dyDescent="0.25">
      <c r="A662">
        <v>661</v>
      </c>
      <c r="B662" s="1" t="s">
        <v>20</v>
      </c>
      <c r="C662">
        <v>56</v>
      </c>
      <c r="D662" s="1" t="s">
        <v>30</v>
      </c>
      <c r="E662" s="1" t="s">
        <v>35</v>
      </c>
      <c r="F662" s="1" t="s">
        <v>16</v>
      </c>
      <c r="G662" s="2">
        <v>45272</v>
      </c>
      <c r="H662">
        <v>10</v>
      </c>
      <c r="I662">
        <v>8828</v>
      </c>
      <c r="J662" s="1" t="s">
        <v>24</v>
      </c>
      <c r="K662">
        <v>2023</v>
      </c>
      <c r="L662" t="s">
        <v>26</v>
      </c>
      <c r="M662" t="s">
        <v>38</v>
      </c>
      <c r="N662">
        <v>12</v>
      </c>
    </row>
    <row r="663" spans="1:14" x14ac:dyDescent="0.25">
      <c r="A663">
        <v>662</v>
      </c>
      <c r="B663" s="1" t="s">
        <v>13</v>
      </c>
      <c r="C663">
        <v>33</v>
      </c>
      <c r="D663" s="1" t="s">
        <v>45</v>
      </c>
      <c r="E663" s="1" t="s">
        <v>31</v>
      </c>
      <c r="F663" s="1" t="s">
        <v>23</v>
      </c>
      <c r="G663" s="2">
        <v>45083</v>
      </c>
      <c r="H663">
        <v>8</v>
      </c>
      <c r="I663">
        <v>43612</v>
      </c>
      <c r="J663" s="1" t="s">
        <v>24</v>
      </c>
      <c r="K663">
        <v>2023</v>
      </c>
      <c r="L663" t="s">
        <v>40</v>
      </c>
      <c r="M663" t="s">
        <v>29</v>
      </c>
      <c r="N663">
        <v>6</v>
      </c>
    </row>
    <row r="664" spans="1:14" x14ac:dyDescent="0.25">
      <c r="A664">
        <v>663</v>
      </c>
      <c r="B664" s="1" t="s">
        <v>13</v>
      </c>
      <c r="C664">
        <v>36</v>
      </c>
      <c r="D664" s="1" t="s">
        <v>37</v>
      </c>
      <c r="E664" s="1" t="s">
        <v>22</v>
      </c>
      <c r="F664" s="1" t="s">
        <v>28</v>
      </c>
      <c r="G664" s="2">
        <v>45018</v>
      </c>
      <c r="H664">
        <v>14</v>
      </c>
      <c r="I664">
        <v>48988</v>
      </c>
      <c r="J664" s="1" t="s">
        <v>39</v>
      </c>
      <c r="K664">
        <v>2023</v>
      </c>
      <c r="L664" t="s">
        <v>33</v>
      </c>
      <c r="M664" t="s">
        <v>29</v>
      </c>
      <c r="N664">
        <v>4</v>
      </c>
    </row>
    <row r="665" spans="1:14" x14ac:dyDescent="0.25">
      <c r="A665">
        <v>664</v>
      </c>
      <c r="B665" s="1" t="s">
        <v>20</v>
      </c>
      <c r="C665">
        <v>20</v>
      </c>
      <c r="D665" s="1" t="s">
        <v>45</v>
      </c>
      <c r="E665" s="1" t="s">
        <v>22</v>
      </c>
      <c r="F665" s="1" t="s">
        <v>23</v>
      </c>
      <c r="G665" s="2">
        <v>45073</v>
      </c>
      <c r="H665">
        <v>8</v>
      </c>
      <c r="I665">
        <v>41099</v>
      </c>
      <c r="J665" s="1" t="s">
        <v>24</v>
      </c>
      <c r="K665">
        <v>2023</v>
      </c>
      <c r="L665" t="s">
        <v>42</v>
      </c>
      <c r="M665" t="s">
        <v>29</v>
      </c>
      <c r="N665">
        <v>5</v>
      </c>
    </row>
    <row r="666" spans="1:14" x14ac:dyDescent="0.25">
      <c r="A666">
        <v>665</v>
      </c>
      <c r="B666" s="1" t="s">
        <v>13</v>
      </c>
      <c r="C666">
        <v>83</v>
      </c>
      <c r="D666" s="1" t="s">
        <v>30</v>
      </c>
      <c r="E666" s="1" t="s">
        <v>22</v>
      </c>
      <c r="F666" s="1" t="s">
        <v>23</v>
      </c>
      <c r="G666" s="2">
        <v>44998</v>
      </c>
      <c r="H666">
        <v>3</v>
      </c>
      <c r="I666">
        <v>48165</v>
      </c>
      <c r="J666" s="1" t="s">
        <v>17</v>
      </c>
      <c r="K666">
        <v>2023</v>
      </c>
      <c r="L666" t="s">
        <v>43</v>
      </c>
      <c r="M666" t="s">
        <v>19</v>
      </c>
      <c r="N666">
        <v>3</v>
      </c>
    </row>
    <row r="667" spans="1:14" x14ac:dyDescent="0.25">
      <c r="A667">
        <v>666</v>
      </c>
      <c r="B667" s="1" t="s">
        <v>13</v>
      </c>
      <c r="C667">
        <v>81</v>
      </c>
      <c r="D667" s="1" t="s">
        <v>37</v>
      </c>
      <c r="E667" s="1" t="s">
        <v>22</v>
      </c>
      <c r="F667" s="1" t="s">
        <v>28</v>
      </c>
      <c r="G667" s="2">
        <v>45145</v>
      </c>
      <c r="H667">
        <v>12</v>
      </c>
      <c r="I667">
        <v>19883</v>
      </c>
      <c r="J667" s="1" t="s">
        <v>24</v>
      </c>
      <c r="K667">
        <v>2023</v>
      </c>
      <c r="L667" t="s">
        <v>47</v>
      </c>
      <c r="M667" t="s">
        <v>19</v>
      </c>
      <c r="N667">
        <v>8</v>
      </c>
    </row>
    <row r="668" spans="1:14" x14ac:dyDescent="0.25">
      <c r="A668">
        <v>667</v>
      </c>
      <c r="B668" s="1" t="s">
        <v>20</v>
      </c>
      <c r="C668">
        <v>62</v>
      </c>
      <c r="D668" s="1" t="s">
        <v>45</v>
      </c>
      <c r="E668" s="1" t="s">
        <v>15</v>
      </c>
      <c r="F668" s="1" t="s">
        <v>32</v>
      </c>
      <c r="G668" s="2">
        <v>45174</v>
      </c>
      <c r="H668">
        <v>12</v>
      </c>
      <c r="I668">
        <v>45059</v>
      </c>
      <c r="J668" s="1" t="s">
        <v>39</v>
      </c>
      <c r="K668">
        <v>2023</v>
      </c>
      <c r="L668" t="s">
        <v>44</v>
      </c>
      <c r="M668" t="s">
        <v>19</v>
      </c>
      <c r="N668">
        <v>9</v>
      </c>
    </row>
    <row r="669" spans="1:14" x14ac:dyDescent="0.25">
      <c r="A669">
        <v>668</v>
      </c>
      <c r="B669" s="1" t="s">
        <v>20</v>
      </c>
      <c r="C669">
        <v>73</v>
      </c>
      <c r="D669" s="1" t="s">
        <v>21</v>
      </c>
      <c r="E669" s="1" t="s">
        <v>15</v>
      </c>
      <c r="F669" s="1" t="s">
        <v>23</v>
      </c>
      <c r="G669" s="2">
        <v>45267</v>
      </c>
      <c r="H669">
        <v>14</v>
      </c>
      <c r="I669">
        <v>20542</v>
      </c>
      <c r="J669" s="1" t="s">
        <v>24</v>
      </c>
      <c r="K669">
        <v>2023</v>
      </c>
      <c r="L669" t="s">
        <v>26</v>
      </c>
      <c r="M669" t="s">
        <v>19</v>
      </c>
      <c r="N669">
        <v>12</v>
      </c>
    </row>
    <row r="670" spans="1:14" x14ac:dyDescent="0.25">
      <c r="A670">
        <v>669</v>
      </c>
      <c r="B670" s="1" t="s">
        <v>13</v>
      </c>
      <c r="C670">
        <v>26</v>
      </c>
      <c r="D670" s="1" t="s">
        <v>30</v>
      </c>
      <c r="E670" s="1" t="s">
        <v>27</v>
      </c>
      <c r="F670" s="1" t="s">
        <v>32</v>
      </c>
      <c r="G670" s="2">
        <v>45047</v>
      </c>
      <c r="H670">
        <v>7</v>
      </c>
      <c r="I670">
        <v>44932</v>
      </c>
      <c r="J670" s="1" t="s">
        <v>24</v>
      </c>
      <c r="K670">
        <v>2023</v>
      </c>
      <c r="L670" t="s">
        <v>42</v>
      </c>
      <c r="M670" t="s">
        <v>29</v>
      </c>
      <c r="N670">
        <v>5</v>
      </c>
    </row>
    <row r="671" spans="1:14" x14ac:dyDescent="0.25">
      <c r="A671">
        <v>670</v>
      </c>
      <c r="B671" s="1" t="s">
        <v>13</v>
      </c>
      <c r="C671">
        <v>66</v>
      </c>
      <c r="D671" s="1" t="s">
        <v>30</v>
      </c>
      <c r="E671" s="1" t="s">
        <v>35</v>
      </c>
      <c r="F671" s="1" t="s">
        <v>28</v>
      </c>
      <c r="G671" s="2">
        <v>44966</v>
      </c>
      <c r="H671">
        <v>1</v>
      </c>
      <c r="I671">
        <v>12450</v>
      </c>
      <c r="J671" s="1" t="s">
        <v>24</v>
      </c>
      <c r="K671">
        <v>2023</v>
      </c>
      <c r="L671" t="s">
        <v>46</v>
      </c>
      <c r="M671" t="s">
        <v>19</v>
      </c>
      <c r="N671">
        <v>2</v>
      </c>
    </row>
    <row r="672" spans="1:14" x14ac:dyDescent="0.25">
      <c r="A672">
        <v>671</v>
      </c>
      <c r="B672" s="1" t="s">
        <v>13</v>
      </c>
      <c r="C672">
        <v>73</v>
      </c>
      <c r="D672" s="1" t="s">
        <v>30</v>
      </c>
      <c r="E672" s="1" t="s">
        <v>31</v>
      </c>
      <c r="F672" s="1" t="s">
        <v>16</v>
      </c>
      <c r="G672" s="2">
        <v>44963</v>
      </c>
      <c r="H672">
        <v>1</v>
      </c>
      <c r="I672">
        <v>22423</v>
      </c>
      <c r="J672" s="1" t="s">
        <v>39</v>
      </c>
      <c r="K672">
        <v>2023</v>
      </c>
      <c r="L672" t="s">
        <v>46</v>
      </c>
      <c r="M672" t="s">
        <v>19</v>
      </c>
      <c r="N672">
        <v>2</v>
      </c>
    </row>
    <row r="673" spans="1:14" x14ac:dyDescent="0.25">
      <c r="A673">
        <v>672</v>
      </c>
      <c r="B673" s="1" t="s">
        <v>20</v>
      </c>
      <c r="C673">
        <v>73</v>
      </c>
      <c r="D673" s="1" t="s">
        <v>21</v>
      </c>
      <c r="E673" s="1" t="s">
        <v>31</v>
      </c>
      <c r="F673" s="1" t="s">
        <v>16</v>
      </c>
      <c r="G673" s="2">
        <v>45217</v>
      </c>
      <c r="H673">
        <v>7</v>
      </c>
      <c r="I673">
        <v>4035</v>
      </c>
      <c r="J673" s="1" t="s">
        <v>24</v>
      </c>
      <c r="K673">
        <v>2023</v>
      </c>
      <c r="L673" t="s">
        <v>41</v>
      </c>
      <c r="M673" t="s">
        <v>19</v>
      </c>
      <c r="N673">
        <v>10</v>
      </c>
    </row>
    <row r="674" spans="1:14" x14ac:dyDescent="0.25">
      <c r="A674">
        <v>673</v>
      </c>
      <c r="B674" s="1" t="s">
        <v>20</v>
      </c>
      <c r="C674">
        <v>40</v>
      </c>
      <c r="D674" s="1" t="s">
        <v>21</v>
      </c>
      <c r="E674" s="1" t="s">
        <v>15</v>
      </c>
      <c r="F674" s="1" t="s">
        <v>23</v>
      </c>
      <c r="G674" s="2">
        <v>44974</v>
      </c>
      <c r="H674">
        <v>10</v>
      </c>
      <c r="I674">
        <v>46231</v>
      </c>
      <c r="J674" s="1" t="s">
        <v>17</v>
      </c>
      <c r="K674">
        <v>2023</v>
      </c>
      <c r="L674" t="s">
        <v>46</v>
      </c>
      <c r="M674" t="s">
        <v>38</v>
      </c>
      <c r="N674">
        <v>2</v>
      </c>
    </row>
    <row r="675" spans="1:14" x14ac:dyDescent="0.25">
      <c r="A675">
        <v>674</v>
      </c>
      <c r="B675" s="1" t="s">
        <v>20</v>
      </c>
      <c r="C675">
        <v>17</v>
      </c>
      <c r="D675" s="1" t="s">
        <v>34</v>
      </c>
      <c r="E675" s="1" t="s">
        <v>31</v>
      </c>
      <c r="F675" s="1" t="s">
        <v>28</v>
      </c>
      <c r="G675" s="2">
        <v>45271</v>
      </c>
      <c r="H675">
        <v>9</v>
      </c>
      <c r="I675">
        <v>42745</v>
      </c>
      <c r="J675" s="1" t="s">
        <v>24</v>
      </c>
      <c r="K675">
        <v>2023</v>
      </c>
      <c r="L675" t="s">
        <v>26</v>
      </c>
      <c r="M675" t="s">
        <v>25</v>
      </c>
      <c r="N675">
        <v>12</v>
      </c>
    </row>
    <row r="676" spans="1:14" x14ac:dyDescent="0.25">
      <c r="A676">
        <v>675</v>
      </c>
      <c r="B676" s="1" t="s">
        <v>20</v>
      </c>
      <c r="C676">
        <v>1</v>
      </c>
      <c r="D676" s="1" t="s">
        <v>14</v>
      </c>
      <c r="E676" s="1" t="s">
        <v>15</v>
      </c>
      <c r="F676" s="1" t="s">
        <v>32</v>
      </c>
      <c r="G676" s="2">
        <v>44967</v>
      </c>
      <c r="H676">
        <v>7</v>
      </c>
      <c r="I676">
        <v>19241</v>
      </c>
      <c r="J676" s="1" t="s">
        <v>24</v>
      </c>
      <c r="K676">
        <v>2023</v>
      </c>
      <c r="L676" t="s">
        <v>46</v>
      </c>
      <c r="M676" t="s">
        <v>25</v>
      </c>
      <c r="N676">
        <v>2</v>
      </c>
    </row>
    <row r="677" spans="1:14" x14ac:dyDescent="0.25">
      <c r="A677">
        <v>676</v>
      </c>
      <c r="B677" s="1" t="s">
        <v>13</v>
      </c>
      <c r="C677">
        <v>89</v>
      </c>
      <c r="D677" s="1" t="s">
        <v>45</v>
      </c>
      <c r="E677" s="1" t="s">
        <v>27</v>
      </c>
      <c r="F677" s="1" t="s">
        <v>23</v>
      </c>
      <c r="G677" s="2">
        <v>45007</v>
      </c>
      <c r="H677">
        <v>10</v>
      </c>
      <c r="I677">
        <v>25154</v>
      </c>
      <c r="J677" s="1" t="s">
        <v>24</v>
      </c>
      <c r="K677">
        <v>2023</v>
      </c>
      <c r="L677" t="s">
        <v>43</v>
      </c>
      <c r="M677" t="s">
        <v>19</v>
      </c>
      <c r="N677">
        <v>3</v>
      </c>
    </row>
    <row r="678" spans="1:14" x14ac:dyDescent="0.25">
      <c r="A678">
        <v>677</v>
      </c>
      <c r="B678" s="1" t="s">
        <v>20</v>
      </c>
      <c r="C678">
        <v>61</v>
      </c>
      <c r="D678" s="1" t="s">
        <v>34</v>
      </c>
      <c r="E678" s="1" t="s">
        <v>35</v>
      </c>
      <c r="F678" s="1" t="s">
        <v>28</v>
      </c>
      <c r="G678" s="2">
        <v>45121</v>
      </c>
      <c r="H678">
        <v>5</v>
      </c>
      <c r="I678">
        <v>27625</v>
      </c>
      <c r="J678" s="1" t="s">
        <v>24</v>
      </c>
      <c r="K678">
        <v>2023</v>
      </c>
      <c r="L678" t="s">
        <v>36</v>
      </c>
      <c r="M678" t="s">
        <v>19</v>
      </c>
      <c r="N678">
        <v>7</v>
      </c>
    </row>
    <row r="679" spans="1:14" x14ac:dyDescent="0.25">
      <c r="A679">
        <v>678</v>
      </c>
      <c r="B679" s="1" t="s">
        <v>20</v>
      </c>
      <c r="C679">
        <v>43</v>
      </c>
      <c r="D679" s="1" t="s">
        <v>45</v>
      </c>
      <c r="E679" s="1" t="s">
        <v>27</v>
      </c>
      <c r="F679" s="1" t="s">
        <v>28</v>
      </c>
      <c r="G679" s="2">
        <v>44972</v>
      </c>
      <c r="H679">
        <v>8</v>
      </c>
      <c r="I679">
        <v>46950</v>
      </c>
      <c r="J679" s="1" t="s">
        <v>39</v>
      </c>
      <c r="K679">
        <v>2023</v>
      </c>
      <c r="L679" t="s">
        <v>46</v>
      </c>
      <c r="M679" t="s">
        <v>38</v>
      </c>
      <c r="N679">
        <v>2</v>
      </c>
    </row>
    <row r="680" spans="1:14" x14ac:dyDescent="0.25">
      <c r="A680">
        <v>679</v>
      </c>
      <c r="B680" s="1" t="s">
        <v>20</v>
      </c>
      <c r="C680">
        <v>42</v>
      </c>
      <c r="D680" s="1" t="s">
        <v>14</v>
      </c>
      <c r="E680" s="1" t="s">
        <v>22</v>
      </c>
      <c r="F680" s="1" t="s">
        <v>32</v>
      </c>
      <c r="G680" s="2">
        <v>45221</v>
      </c>
      <c r="H680">
        <v>2</v>
      </c>
      <c r="I680">
        <v>35066</v>
      </c>
      <c r="J680" s="1" t="s">
        <v>24</v>
      </c>
      <c r="K680">
        <v>2023</v>
      </c>
      <c r="L680" t="s">
        <v>41</v>
      </c>
      <c r="M680" t="s">
        <v>38</v>
      </c>
      <c r="N680">
        <v>10</v>
      </c>
    </row>
    <row r="681" spans="1:14" x14ac:dyDescent="0.25">
      <c r="A681">
        <v>680</v>
      </c>
      <c r="B681" s="1" t="s">
        <v>20</v>
      </c>
      <c r="C681">
        <v>25</v>
      </c>
      <c r="D681" s="1" t="s">
        <v>21</v>
      </c>
      <c r="E681" s="1" t="s">
        <v>22</v>
      </c>
      <c r="F681" s="1" t="s">
        <v>23</v>
      </c>
      <c r="G681" s="2">
        <v>45019</v>
      </c>
      <c r="H681">
        <v>9</v>
      </c>
      <c r="I681">
        <v>35691</v>
      </c>
      <c r="J681" s="1" t="s">
        <v>24</v>
      </c>
      <c r="K681">
        <v>2023</v>
      </c>
      <c r="L681" t="s">
        <v>33</v>
      </c>
      <c r="M681" t="s">
        <v>29</v>
      </c>
      <c r="N681">
        <v>4</v>
      </c>
    </row>
    <row r="682" spans="1:14" x14ac:dyDescent="0.25">
      <c r="A682">
        <v>681</v>
      </c>
      <c r="B682" s="1" t="s">
        <v>20</v>
      </c>
      <c r="C682">
        <v>39</v>
      </c>
      <c r="D682" s="1" t="s">
        <v>14</v>
      </c>
      <c r="E682" s="1" t="s">
        <v>22</v>
      </c>
      <c r="F682" s="1" t="s">
        <v>28</v>
      </c>
      <c r="G682" s="2">
        <v>44957</v>
      </c>
      <c r="H682">
        <v>6</v>
      </c>
      <c r="I682">
        <v>15331</v>
      </c>
      <c r="J682" s="1" t="s">
        <v>24</v>
      </c>
      <c r="K682">
        <v>2023</v>
      </c>
      <c r="L682" t="s">
        <v>48</v>
      </c>
      <c r="M682" t="s">
        <v>29</v>
      </c>
      <c r="N682">
        <v>1</v>
      </c>
    </row>
    <row r="683" spans="1:14" x14ac:dyDescent="0.25">
      <c r="A683">
        <v>682</v>
      </c>
      <c r="B683" s="1" t="s">
        <v>13</v>
      </c>
      <c r="C683">
        <v>35</v>
      </c>
      <c r="D683" s="1" t="s">
        <v>21</v>
      </c>
      <c r="E683" s="1" t="s">
        <v>27</v>
      </c>
      <c r="F683" s="1" t="s">
        <v>28</v>
      </c>
      <c r="G683" s="2">
        <v>45045</v>
      </c>
      <c r="H683">
        <v>13</v>
      </c>
      <c r="I683">
        <v>22690</v>
      </c>
      <c r="J683" s="1" t="s">
        <v>24</v>
      </c>
      <c r="K683">
        <v>2023</v>
      </c>
      <c r="L683" t="s">
        <v>33</v>
      </c>
      <c r="M683" t="s">
        <v>29</v>
      </c>
      <c r="N683">
        <v>4</v>
      </c>
    </row>
    <row r="684" spans="1:14" x14ac:dyDescent="0.25">
      <c r="A684">
        <v>683</v>
      </c>
      <c r="B684" s="1" t="s">
        <v>13</v>
      </c>
      <c r="C684">
        <v>3</v>
      </c>
      <c r="D684" s="1" t="s">
        <v>14</v>
      </c>
      <c r="E684" s="1" t="s">
        <v>31</v>
      </c>
      <c r="F684" s="1" t="s">
        <v>28</v>
      </c>
      <c r="G684" s="2">
        <v>45068</v>
      </c>
      <c r="H684">
        <v>9</v>
      </c>
      <c r="I684">
        <v>21183</v>
      </c>
      <c r="J684" s="1" t="s">
        <v>39</v>
      </c>
      <c r="K684">
        <v>2023</v>
      </c>
      <c r="L684" t="s">
        <v>42</v>
      </c>
      <c r="M684" t="s">
        <v>25</v>
      </c>
      <c r="N684">
        <v>5</v>
      </c>
    </row>
    <row r="685" spans="1:14" x14ac:dyDescent="0.25">
      <c r="A685">
        <v>684</v>
      </c>
      <c r="B685" s="1" t="s">
        <v>20</v>
      </c>
      <c r="C685">
        <v>44</v>
      </c>
      <c r="D685" s="1" t="s">
        <v>34</v>
      </c>
      <c r="E685" s="1" t="s">
        <v>35</v>
      </c>
      <c r="F685" s="1" t="s">
        <v>32</v>
      </c>
      <c r="G685" s="2">
        <v>45063</v>
      </c>
      <c r="H685">
        <v>2</v>
      </c>
      <c r="I685">
        <v>41346</v>
      </c>
      <c r="J685" s="1" t="s">
        <v>24</v>
      </c>
      <c r="K685">
        <v>2023</v>
      </c>
      <c r="L685" t="s">
        <v>42</v>
      </c>
      <c r="M685" t="s">
        <v>38</v>
      </c>
      <c r="N685">
        <v>5</v>
      </c>
    </row>
    <row r="686" spans="1:14" x14ac:dyDescent="0.25">
      <c r="A686">
        <v>685</v>
      </c>
      <c r="B686" s="1" t="s">
        <v>13</v>
      </c>
      <c r="C686">
        <v>51</v>
      </c>
      <c r="D686" s="1" t="s">
        <v>37</v>
      </c>
      <c r="E686" s="1" t="s">
        <v>22</v>
      </c>
      <c r="F686" s="1" t="s">
        <v>23</v>
      </c>
      <c r="G686" s="2">
        <v>45236</v>
      </c>
      <c r="H686">
        <v>3</v>
      </c>
      <c r="I686">
        <v>6875</v>
      </c>
      <c r="J686" s="1" t="s">
        <v>24</v>
      </c>
      <c r="K686">
        <v>2023</v>
      </c>
      <c r="L686" t="s">
        <v>18</v>
      </c>
      <c r="M686" t="s">
        <v>38</v>
      </c>
      <c r="N686">
        <v>11</v>
      </c>
    </row>
    <row r="687" spans="1:14" x14ac:dyDescent="0.25">
      <c r="A687">
        <v>686</v>
      </c>
      <c r="B687" s="1" t="s">
        <v>20</v>
      </c>
      <c r="C687">
        <v>12</v>
      </c>
      <c r="D687" s="1" t="s">
        <v>34</v>
      </c>
      <c r="E687" s="1" t="s">
        <v>22</v>
      </c>
      <c r="F687" s="1" t="s">
        <v>23</v>
      </c>
      <c r="G687" s="2">
        <v>45120</v>
      </c>
      <c r="H687">
        <v>12</v>
      </c>
      <c r="I687">
        <v>14254</v>
      </c>
      <c r="J687" s="1" t="s">
        <v>17</v>
      </c>
      <c r="K687">
        <v>2023</v>
      </c>
      <c r="L687" t="s">
        <v>36</v>
      </c>
      <c r="M687" t="s">
        <v>25</v>
      </c>
      <c r="N687">
        <v>7</v>
      </c>
    </row>
    <row r="688" spans="1:14" x14ac:dyDescent="0.25">
      <c r="A688">
        <v>687</v>
      </c>
      <c r="B688" s="1" t="s">
        <v>20</v>
      </c>
      <c r="C688">
        <v>19</v>
      </c>
      <c r="D688" s="1" t="s">
        <v>45</v>
      </c>
      <c r="E688" s="1" t="s">
        <v>22</v>
      </c>
      <c r="F688" s="1" t="s">
        <v>23</v>
      </c>
      <c r="G688" s="2">
        <v>44975</v>
      </c>
      <c r="H688">
        <v>8</v>
      </c>
      <c r="I688">
        <v>30621</v>
      </c>
      <c r="J688" s="1" t="s">
        <v>39</v>
      </c>
      <c r="K688">
        <v>2023</v>
      </c>
      <c r="L688" t="s">
        <v>46</v>
      </c>
      <c r="M688" t="s">
        <v>29</v>
      </c>
      <c r="N688">
        <v>2</v>
      </c>
    </row>
    <row r="689" spans="1:14" x14ac:dyDescent="0.25">
      <c r="A689">
        <v>688</v>
      </c>
      <c r="B689" s="1" t="s">
        <v>13</v>
      </c>
      <c r="C689">
        <v>44</v>
      </c>
      <c r="D689" s="1" t="s">
        <v>34</v>
      </c>
      <c r="E689" s="1" t="s">
        <v>35</v>
      </c>
      <c r="F689" s="1" t="s">
        <v>23</v>
      </c>
      <c r="G689" s="2">
        <v>45195</v>
      </c>
      <c r="H689">
        <v>1</v>
      </c>
      <c r="I689">
        <v>12905</v>
      </c>
      <c r="J689" s="1" t="s">
        <v>24</v>
      </c>
      <c r="K689">
        <v>2023</v>
      </c>
      <c r="L689" t="s">
        <v>44</v>
      </c>
      <c r="M689" t="s">
        <v>38</v>
      </c>
      <c r="N689">
        <v>9</v>
      </c>
    </row>
    <row r="690" spans="1:14" x14ac:dyDescent="0.25">
      <c r="A690">
        <v>689</v>
      </c>
      <c r="B690" s="1" t="s">
        <v>13</v>
      </c>
      <c r="C690">
        <v>59</v>
      </c>
      <c r="D690" s="1" t="s">
        <v>30</v>
      </c>
      <c r="E690" s="1" t="s">
        <v>22</v>
      </c>
      <c r="F690" s="1" t="s">
        <v>16</v>
      </c>
      <c r="G690" s="2">
        <v>45283</v>
      </c>
      <c r="H690">
        <v>10</v>
      </c>
      <c r="I690">
        <v>48121</v>
      </c>
      <c r="J690" s="1" t="s">
        <v>24</v>
      </c>
      <c r="K690">
        <v>2023</v>
      </c>
      <c r="L690" t="s">
        <v>26</v>
      </c>
      <c r="M690" t="s">
        <v>38</v>
      </c>
      <c r="N690">
        <v>12</v>
      </c>
    </row>
    <row r="691" spans="1:14" x14ac:dyDescent="0.25">
      <c r="A691">
        <v>690</v>
      </c>
      <c r="B691" s="1" t="s">
        <v>20</v>
      </c>
      <c r="C691">
        <v>49</v>
      </c>
      <c r="D691" s="1" t="s">
        <v>45</v>
      </c>
      <c r="E691" s="1" t="s">
        <v>35</v>
      </c>
      <c r="F691" s="1" t="s">
        <v>16</v>
      </c>
      <c r="G691" s="2">
        <v>45106</v>
      </c>
      <c r="H691">
        <v>7</v>
      </c>
      <c r="I691">
        <v>17882</v>
      </c>
      <c r="J691" s="1" t="s">
        <v>24</v>
      </c>
      <c r="K691">
        <v>2023</v>
      </c>
      <c r="L691" t="s">
        <v>40</v>
      </c>
      <c r="M691" t="s">
        <v>38</v>
      </c>
      <c r="N691">
        <v>6</v>
      </c>
    </row>
    <row r="692" spans="1:14" x14ac:dyDescent="0.25">
      <c r="A692">
        <v>691</v>
      </c>
      <c r="B692" s="1" t="s">
        <v>20</v>
      </c>
      <c r="C692">
        <v>61</v>
      </c>
      <c r="D692" s="1" t="s">
        <v>14</v>
      </c>
      <c r="E692" s="1" t="s">
        <v>22</v>
      </c>
      <c r="F692" s="1" t="s">
        <v>23</v>
      </c>
      <c r="G692" s="2">
        <v>45099</v>
      </c>
      <c r="H692">
        <v>7</v>
      </c>
      <c r="I692">
        <v>21041</v>
      </c>
      <c r="J692" s="1" t="s">
        <v>24</v>
      </c>
      <c r="K692">
        <v>2023</v>
      </c>
      <c r="L692" t="s">
        <v>40</v>
      </c>
      <c r="M692" t="s">
        <v>19</v>
      </c>
      <c r="N692">
        <v>6</v>
      </c>
    </row>
    <row r="693" spans="1:14" x14ac:dyDescent="0.25">
      <c r="A693">
        <v>692</v>
      </c>
      <c r="B693" s="1" t="s">
        <v>20</v>
      </c>
      <c r="C693">
        <v>17</v>
      </c>
      <c r="D693" s="1" t="s">
        <v>45</v>
      </c>
      <c r="E693" s="1" t="s">
        <v>27</v>
      </c>
      <c r="F693" s="1" t="s">
        <v>32</v>
      </c>
      <c r="G693" s="2">
        <v>44940</v>
      </c>
      <c r="H693">
        <v>13</v>
      </c>
      <c r="I693">
        <v>31098</v>
      </c>
      <c r="J693" s="1" t="s">
        <v>39</v>
      </c>
      <c r="K693">
        <v>2023</v>
      </c>
      <c r="L693" t="s">
        <v>48</v>
      </c>
      <c r="M693" t="s">
        <v>25</v>
      </c>
      <c r="N693">
        <v>1</v>
      </c>
    </row>
    <row r="694" spans="1:14" x14ac:dyDescent="0.25">
      <c r="A694">
        <v>693</v>
      </c>
      <c r="B694" s="1" t="s">
        <v>13</v>
      </c>
      <c r="C694">
        <v>74</v>
      </c>
      <c r="D694" s="1" t="s">
        <v>37</v>
      </c>
      <c r="E694" s="1" t="s">
        <v>27</v>
      </c>
      <c r="F694" s="1" t="s">
        <v>16</v>
      </c>
      <c r="G694" s="2">
        <v>45255</v>
      </c>
      <c r="H694">
        <v>1</v>
      </c>
      <c r="I694">
        <v>44431</v>
      </c>
      <c r="J694" s="1" t="s">
        <v>24</v>
      </c>
      <c r="K694">
        <v>2023</v>
      </c>
      <c r="L694" t="s">
        <v>18</v>
      </c>
      <c r="M694" t="s">
        <v>19</v>
      </c>
      <c r="N694">
        <v>11</v>
      </c>
    </row>
    <row r="695" spans="1:14" x14ac:dyDescent="0.25">
      <c r="A695">
        <v>694</v>
      </c>
      <c r="B695" s="1" t="s">
        <v>20</v>
      </c>
      <c r="C695">
        <v>57</v>
      </c>
      <c r="D695" s="1" t="s">
        <v>21</v>
      </c>
      <c r="E695" s="1" t="s">
        <v>35</v>
      </c>
      <c r="F695" s="1" t="s">
        <v>28</v>
      </c>
      <c r="G695" s="2">
        <v>44944</v>
      </c>
      <c r="H695">
        <v>9</v>
      </c>
      <c r="I695">
        <v>35709</v>
      </c>
      <c r="J695" s="1" t="s">
        <v>24</v>
      </c>
      <c r="K695">
        <v>2023</v>
      </c>
      <c r="L695" t="s">
        <v>48</v>
      </c>
      <c r="M695" t="s">
        <v>38</v>
      </c>
      <c r="N695">
        <v>1</v>
      </c>
    </row>
    <row r="696" spans="1:14" x14ac:dyDescent="0.25">
      <c r="A696">
        <v>695</v>
      </c>
      <c r="B696" s="1" t="s">
        <v>20</v>
      </c>
      <c r="C696">
        <v>55</v>
      </c>
      <c r="D696" s="1" t="s">
        <v>14</v>
      </c>
      <c r="E696" s="1" t="s">
        <v>27</v>
      </c>
      <c r="F696" s="1" t="s">
        <v>16</v>
      </c>
      <c r="G696" s="2">
        <v>45134</v>
      </c>
      <c r="H696">
        <v>8</v>
      </c>
      <c r="I696">
        <v>36675</v>
      </c>
      <c r="J696" s="1" t="s">
        <v>24</v>
      </c>
      <c r="K696">
        <v>2023</v>
      </c>
      <c r="L696" t="s">
        <v>36</v>
      </c>
      <c r="M696" t="s">
        <v>38</v>
      </c>
      <c r="N696">
        <v>7</v>
      </c>
    </row>
    <row r="697" spans="1:14" x14ac:dyDescent="0.25">
      <c r="A697">
        <v>696</v>
      </c>
      <c r="B697" s="1" t="s">
        <v>20</v>
      </c>
      <c r="C697">
        <v>47</v>
      </c>
      <c r="D697" s="1" t="s">
        <v>45</v>
      </c>
      <c r="E697" s="1" t="s">
        <v>35</v>
      </c>
      <c r="F697" s="1" t="s">
        <v>28</v>
      </c>
      <c r="G697" s="2">
        <v>45278</v>
      </c>
      <c r="H697">
        <v>4</v>
      </c>
      <c r="I697">
        <v>6837</v>
      </c>
      <c r="J697" s="1" t="s">
        <v>24</v>
      </c>
      <c r="K697">
        <v>2023</v>
      </c>
      <c r="L697" t="s">
        <v>26</v>
      </c>
      <c r="M697" t="s">
        <v>38</v>
      </c>
      <c r="N697">
        <v>12</v>
      </c>
    </row>
    <row r="698" spans="1:14" x14ac:dyDescent="0.25">
      <c r="A698">
        <v>697</v>
      </c>
      <c r="B698" s="1" t="s">
        <v>13</v>
      </c>
      <c r="C698">
        <v>12</v>
      </c>
      <c r="D698" s="1" t="s">
        <v>14</v>
      </c>
      <c r="E698" s="1" t="s">
        <v>27</v>
      </c>
      <c r="F698" s="1" t="s">
        <v>23</v>
      </c>
      <c r="G698" s="2">
        <v>45170</v>
      </c>
      <c r="H698">
        <v>10</v>
      </c>
      <c r="I698">
        <v>48448</v>
      </c>
      <c r="J698" s="1" t="s">
        <v>24</v>
      </c>
      <c r="K698">
        <v>2023</v>
      </c>
      <c r="L698" t="s">
        <v>44</v>
      </c>
      <c r="M698" t="s">
        <v>25</v>
      </c>
      <c r="N698">
        <v>9</v>
      </c>
    </row>
    <row r="699" spans="1:14" x14ac:dyDescent="0.25">
      <c r="A699">
        <v>698</v>
      </c>
      <c r="B699" s="1" t="s">
        <v>20</v>
      </c>
      <c r="C699">
        <v>62</v>
      </c>
      <c r="D699" s="1" t="s">
        <v>14</v>
      </c>
      <c r="E699" s="1" t="s">
        <v>27</v>
      </c>
      <c r="F699" s="1" t="s">
        <v>16</v>
      </c>
      <c r="G699" s="2">
        <v>44937</v>
      </c>
      <c r="H699">
        <v>11</v>
      </c>
      <c r="I699">
        <v>26489</v>
      </c>
      <c r="J699" s="1" t="s">
        <v>24</v>
      </c>
      <c r="K699">
        <v>2023</v>
      </c>
      <c r="L699" t="s">
        <v>48</v>
      </c>
      <c r="M699" t="s">
        <v>19</v>
      </c>
      <c r="N699">
        <v>1</v>
      </c>
    </row>
    <row r="700" spans="1:14" x14ac:dyDescent="0.25">
      <c r="A700">
        <v>699</v>
      </c>
      <c r="B700" s="1" t="s">
        <v>20</v>
      </c>
      <c r="C700">
        <v>80</v>
      </c>
      <c r="D700" s="1" t="s">
        <v>14</v>
      </c>
      <c r="E700" s="1" t="s">
        <v>35</v>
      </c>
      <c r="F700" s="1" t="s">
        <v>32</v>
      </c>
      <c r="G700" s="2">
        <v>44939</v>
      </c>
      <c r="H700">
        <v>5</v>
      </c>
      <c r="I700">
        <v>19627</v>
      </c>
      <c r="J700" s="1" t="s">
        <v>24</v>
      </c>
      <c r="K700">
        <v>2023</v>
      </c>
      <c r="L700" t="s">
        <v>48</v>
      </c>
      <c r="M700" t="s">
        <v>19</v>
      </c>
      <c r="N700">
        <v>1</v>
      </c>
    </row>
    <row r="701" spans="1:14" x14ac:dyDescent="0.25">
      <c r="A701">
        <v>700</v>
      </c>
      <c r="B701" s="1" t="s">
        <v>13</v>
      </c>
      <c r="C701">
        <v>88</v>
      </c>
      <c r="D701" s="1" t="s">
        <v>21</v>
      </c>
      <c r="E701" s="1" t="s">
        <v>31</v>
      </c>
      <c r="F701" s="1" t="s">
        <v>16</v>
      </c>
      <c r="G701" s="2">
        <v>45081</v>
      </c>
      <c r="H701">
        <v>2</v>
      </c>
      <c r="I701">
        <v>7696</v>
      </c>
      <c r="J701" s="1" t="s">
        <v>24</v>
      </c>
      <c r="K701">
        <v>2023</v>
      </c>
      <c r="L701" t="s">
        <v>40</v>
      </c>
      <c r="M701" t="s">
        <v>19</v>
      </c>
      <c r="N701">
        <v>6</v>
      </c>
    </row>
    <row r="702" spans="1:14" x14ac:dyDescent="0.25">
      <c r="A702">
        <v>701</v>
      </c>
      <c r="B702" s="1" t="s">
        <v>20</v>
      </c>
      <c r="C702">
        <v>83</v>
      </c>
      <c r="D702" s="1" t="s">
        <v>34</v>
      </c>
      <c r="E702" s="1" t="s">
        <v>27</v>
      </c>
      <c r="F702" s="1" t="s">
        <v>16</v>
      </c>
      <c r="G702" s="2">
        <v>45285</v>
      </c>
      <c r="H702">
        <v>13</v>
      </c>
      <c r="I702">
        <v>15543</v>
      </c>
      <c r="J702" s="1" t="s">
        <v>24</v>
      </c>
      <c r="K702">
        <v>2023</v>
      </c>
      <c r="L702" t="s">
        <v>26</v>
      </c>
      <c r="M702" t="s">
        <v>19</v>
      </c>
      <c r="N702">
        <v>12</v>
      </c>
    </row>
    <row r="703" spans="1:14" x14ac:dyDescent="0.25">
      <c r="A703">
        <v>702</v>
      </c>
      <c r="B703" s="1" t="s">
        <v>20</v>
      </c>
      <c r="C703">
        <v>8</v>
      </c>
      <c r="D703" s="1" t="s">
        <v>14</v>
      </c>
      <c r="E703" s="1" t="s">
        <v>22</v>
      </c>
      <c r="F703" s="1" t="s">
        <v>16</v>
      </c>
      <c r="G703" s="2">
        <v>45230</v>
      </c>
      <c r="H703">
        <v>9</v>
      </c>
      <c r="I703">
        <v>14615</v>
      </c>
      <c r="J703" s="1" t="s">
        <v>24</v>
      </c>
      <c r="K703">
        <v>2023</v>
      </c>
      <c r="L703" t="s">
        <v>41</v>
      </c>
      <c r="M703" t="s">
        <v>25</v>
      </c>
      <c r="N703">
        <v>10</v>
      </c>
    </row>
    <row r="704" spans="1:14" x14ac:dyDescent="0.25">
      <c r="A704">
        <v>703</v>
      </c>
      <c r="B704" s="1" t="s">
        <v>13</v>
      </c>
      <c r="C704">
        <v>21</v>
      </c>
      <c r="D704" s="1" t="s">
        <v>30</v>
      </c>
      <c r="E704" s="1" t="s">
        <v>31</v>
      </c>
      <c r="F704" s="1" t="s">
        <v>23</v>
      </c>
      <c r="G704" s="2">
        <v>45230</v>
      </c>
      <c r="H704">
        <v>12</v>
      </c>
      <c r="I704">
        <v>3466</v>
      </c>
      <c r="J704" s="1" t="s">
        <v>24</v>
      </c>
      <c r="K704">
        <v>2023</v>
      </c>
      <c r="L704" t="s">
        <v>41</v>
      </c>
      <c r="M704" t="s">
        <v>29</v>
      </c>
      <c r="N704">
        <v>10</v>
      </c>
    </row>
    <row r="705" spans="1:14" x14ac:dyDescent="0.25">
      <c r="A705">
        <v>704</v>
      </c>
      <c r="B705" s="1" t="s">
        <v>20</v>
      </c>
      <c r="C705">
        <v>81</v>
      </c>
      <c r="D705" s="1" t="s">
        <v>37</v>
      </c>
      <c r="E705" s="1" t="s">
        <v>35</v>
      </c>
      <c r="F705" s="1" t="s">
        <v>32</v>
      </c>
      <c r="G705" s="2">
        <v>45268</v>
      </c>
      <c r="H705">
        <v>12</v>
      </c>
      <c r="I705">
        <v>32771</v>
      </c>
      <c r="J705" s="1" t="s">
        <v>24</v>
      </c>
      <c r="K705">
        <v>2023</v>
      </c>
      <c r="L705" t="s">
        <v>26</v>
      </c>
      <c r="M705" t="s">
        <v>19</v>
      </c>
      <c r="N705">
        <v>12</v>
      </c>
    </row>
    <row r="706" spans="1:14" x14ac:dyDescent="0.25">
      <c r="A706">
        <v>705</v>
      </c>
      <c r="B706" s="1" t="s">
        <v>13</v>
      </c>
      <c r="C706">
        <v>87</v>
      </c>
      <c r="D706" s="1" t="s">
        <v>21</v>
      </c>
      <c r="E706" s="1" t="s">
        <v>31</v>
      </c>
      <c r="F706" s="1" t="s">
        <v>16</v>
      </c>
      <c r="G706" s="2">
        <v>44932</v>
      </c>
      <c r="H706">
        <v>6</v>
      </c>
      <c r="I706">
        <v>20350</v>
      </c>
      <c r="J706" s="1" t="s">
        <v>24</v>
      </c>
      <c r="K706">
        <v>2023</v>
      </c>
      <c r="L706" t="s">
        <v>48</v>
      </c>
      <c r="M706" t="s">
        <v>19</v>
      </c>
      <c r="N706">
        <v>1</v>
      </c>
    </row>
    <row r="707" spans="1:14" x14ac:dyDescent="0.25">
      <c r="A707">
        <v>706</v>
      </c>
      <c r="B707" s="1" t="s">
        <v>13</v>
      </c>
      <c r="C707">
        <v>80</v>
      </c>
      <c r="D707" s="1" t="s">
        <v>45</v>
      </c>
      <c r="E707" s="1" t="s">
        <v>15</v>
      </c>
      <c r="F707" s="1" t="s">
        <v>32</v>
      </c>
      <c r="G707" s="2">
        <v>45193</v>
      </c>
      <c r="H707">
        <v>3</v>
      </c>
      <c r="I707">
        <v>2375</v>
      </c>
      <c r="J707" s="1" t="s">
        <v>24</v>
      </c>
      <c r="K707">
        <v>2023</v>
      </c>
      <c r="L707" t="s">
        <v>44</v>
      </c>
      <c r="M707" t="s">
        <v>19</v>
      </c>
      <c r="N707">
        <v>9</v>
      </c>
    </row>
    <row r="708" spans="1:14" x14ac:dyDescent="0.25">
      <c r="A708">
        <v>707</v>
      </c>
      <c r="B708" s="1" t="s">
        <v>20</v>
      </c>
      <c r="C708">
        <v>70</v>
      </c>
      <c r="D708" s="1" t="s">
        <v>21</v>
      </c>
      <c r="E708" s="1" t="s">
        <v>15</v>
      </c>
      <c r="F708" s="1" t="s">
        <v>23</v>
      </c>
      <c r="G708" s="2">
        <v>45204</v>
      </c>
      <c r="H708">
        <v>12</v>
      </c>
      <c r="I708">
        <v>35030</v>
      </c>
      <c r="J708" s="1" t="s">
        <v>24</v>
      </c>
      <c r="K708">
        <v>2023</v>
      </c>
      <c r="L708" t="s">
        <v>41</v>
      </c>
      <c r="M708" t="s">
        <v>19</v>
      </c>
      <c r="N708">
        <v>10</v>
      </c>
    </row>
    <row r="709" spans="1:14" x14ac:dyDescent="0.25">
      <c r="A709">
        <v>708</v>
      </c>
      <c r="B709" s="1" t="s">
        <v>20</v>
      </c>
      <c r="C709">
        <v>72</v>
      </c>
      <c r="D709" s="1" t="s">
        <v>45</v>
      </c>
      <c r="E709" s="1" t="s">
        <v>27</v>
      </c>
      <c r="F709" s="1" t="s">
        <v>28</v>
      </c>
      <c r="G709" s="2">
        <v>44937</v>
      </c>
      <c r="H709">
        <v>7</v>
      </c>
      <c r="I709">
        <v>22746</v>
      </c>
      <c r="J709" s="1" t="s">
        <v>24</v>
      </c>
      <c r="K709">
        <v>2023</v>
      </c>
      <c r="L709" t="s">
        <v>48</v>
      </c>
      <c r="M709" t="s">
        <v>19</v>
      </c>
      <c r="N709">
        <v>1</v>
      </c>
    </row>
    <row r="710" spans="1:14" x14ac:dyDescent="0.25">
      <c r="A710">
        <v>709</v>
      </c>
      <c r="B710" s="1" t="s">
        <v>20</v>
      </c>
      <c r="C710">
        <v>25</v>
      </c>
      <c r="D710" s="1" t="s">
        <v>21</v>
      </c>
      <c r="E710" s="1" t="s">
        <v>27</v>
      </c>
      <c r="F710" s="1" t="s">
        <v>16</v>
      </c>
      <c r="G710" s="2">
        <v>45068</v>
      </c>
      <c r="H710">
        <v>9</v>
      </c>
      <c r="I710">
        <v>24886</v>
      </c>
      <c r="J710" s="1" t="s">
        <v>39</v>
      </c>
      <c r="K710">
        <v>2023</v>
      </c>
      <c r="L710" t="s">
        <v>42</v>
      </c>
      <c r="M710" t="s">
        <v>29</v>
      </c>
      <c r="N710">
        <v>5</v>
      </c>
    </row>
    <row r="711" spans="1:14" x14ac:dyDescent="0.25">
      <c r="A711">
        <v>710</v>
      </c>
      <c r="B711" s="1" t="s">
        <v>20</v>
      </c>
      <c r="C711">
        <v>82</v>
      </c>
      <c r="D711" s="1" t="s">
        <v>45</v>
      </c>
      <c r="E711" s="1" t="s">
        <v>22</v>
      </c>
      <c r="F711" s="1" t="s">
        <v>32</v>
      </c>
      <c r="G711" s="2">
        <v>44959</v>
      </c>
      <c r="H711">
        <v>3</v>
      </c>
      <c r="I711">
        <v>46348</v>
      </c>
      <c r="J711" s="1" t="s">
        <v>17</v>
      </c>
      <c r="K711">
        <v>2023</v>
      </c>
      <c r="L711" t="s">
        <v>46</v>
      </c>
      <c r="M711" t="s">
        <v>19</v>
      </c>
      <c r="N711">
        <v>2</v>
      </c>
    </row>
    <row r="712" spans="1:14" x14ac:dyDescent="0.25">
      <c r="A712">
        <v>711</v>
      </c>
      <c r="B712" s="1" t="s">
        <v>13</v>
      </c>
      <c r="C712">
        <v>89</v>
      </c>
      <c r="D712" s="1" t="s">
        <v>14</v>
      </c>
      <c r="E712" s="1" t="s">
        <v>31</v>
      </c>
      <c r="F712" s="1" t="s">
        <v>32</v>
      </c>
      <c r="G712" s="2">
        <v>45078</v>
      </c>
      <c r="H712">
        <v>2</v>
      </c>
      <c r="I712">
        <v>44904</v>
      </c>
      <c r="J712" s="1" t="s">
        <v>39</v>
      </c>
      <c r="K712">
        <v>2023</v>
      </c>
      <c r="L712" t="s">
        <v>40</v>
      </c>
      <c r="M712" t="s">
        <v>19</v>
      </c>
      <c r="N712">
        <v>6</v>
      </c>
    </row>
    <row r="713" spans="1:14" x14ac:dyDescent="0.25">
      <c r="A713">
        <v>712</v>
      </c>
      <c r="B713" s="1" t="s">
        <v>20</v>
      </c>
      <c r="C713">
        <v>12</v>
      </c>
      <c r="D713" s="1" t="s">
        <v>34</v>
      </c>
      <c r="E713" s="1" t="s">
        <v>15</v>
      </c>
      <c r="F713" s="1" t="s">
        <v>23</v>
      </c>
      <c r="G713" s="2">
        <v>45186</v>
      </c>
      <c r="H713">
        <v>7</v>
      </c>
      <c r="I713">
        <v>34651</v>
      </c>
      <c r="J713" s="1" t="s">
        <v>24</v>
      </c>
      <c r="K713">
        <v>2023</v>
      </c>
      <c r="L713" t="s">
        <v>44</v>
      </c>
      <c r="M713" t="s">
        <v>25</v>
      </c>
      <c r="N713">
        <v>9</v>
      </c>
    </row>
    <row r="714" spans="1:14" x14ac:dyDescent="0.25">
      <c r="A714">
        <v>713</v>
      </c>
      <c r="B714" s="1" t="s">
        <v>13</v>
      </c>
      <c r="C714">
        <v>15</v>
      </c>
      <c r="D714" s="1" t="s">
        <v>45</v>
      </c>
      <c r="E714" s="1" t="s">
        <v>27</v>
      </c>
      <c r="F714" s="1" t="s">
        <v>16</v>
      </c>
      <c r="G714" s="2">
        <v>45211</v>
      </c>
      <c r="H714">
        <v>7</v>
      </c>
      <c r="I714">
        <v>9833</v>
      </c>
      <c r="J714" s="1" t="s">
        <v>39</v>
      </c>
      <c r="K714">
        <v>2023</v>
      </c>
      <c r="L714" t="s">
        <v>41</v>
      </c>
      <c r="M714" t="s">
        <v>25</v>
      </c>
      <c r="N714">
        <v>10</v>
      </c>
    </row>
    <row r="715" spans="1:14" x14ac:dyDescent="0.25">
      <c r="A715">
        <v>714</v>
      </c>
      <c r="B715" s="1" t="s">
        <v>20</v>
      </c>
      <c r="C715">
        <v>59</v>
      </c>
      <c r="D715" s="1" t="s">
        <v>45</v>
      </c>
      <c r="E715" s="1" t="s">
        <v>31</v>
      </c>
      <c r="F715" s="1" t="s">
        <v>28</v>
      </c>
      <c r="G715" s="2">
        <v>45152</v>
      </c>
      <c r="H715">
        <v>4</v>
      </c>
      <c r="I715">
        <v>3893</v>
      </c>
      <c r="J715" s="1" t="s">
        <v>24</v>
      </c>
      <c r="K715">
        <v>2023</v>
      </c>
      <c r="L715" t="s">
        <v>47</v>
      </c>
      <c r="M715" t="s">
        <v>38</v>
      </c>
      <c r="N715">
        <v>8</v>
      </c>
    </row>
    <row r="716" spans="1:14" x14ac:dyDescent="0.25">
      <c r="A716">
        <v>715</v>
      </c>
      <c r="B716" s="1" t="s">
        <v>20</v>
      </c>
      <c r="C716">
        <v>26</v>
      </c>
      <c r="D716" s="1" t="s">
        <v>30</v>
      </c>
      <c r="E716" s="1" t="s">
        <v>27</v>
      </c>
      <c r="F716" s="1" t="s">
        <v>32</v>
      </c>
      <c r="G716" s="2">
        <v>45154</v>
      </c>
      <c r="H716">
        <v>11</v>
      </c>
      <c r="I716">
        <v>32573</v>
      </c>
      <c r="J716" s="1" t="s">
        <v>24</v>
      </c>
      <c r="K716">
        <v>2023</v>
      </c>
      <c r="L716" t="s">
        <v>47</v>
      </c>
      <c r="M716" t="s">
        <v>29</v>
      </c>
      <c r="N716">
        <v>8</v>
      </c>
    </row>
    <row r="717" spans="1:14" x14ac:dyDescent="0.25">
      <c r="A717">
        <v>716</v>
      </c>
      <c r="B717" s="1" t="s">
        <v>20</v>
      </c>
      <c r="C717">
        <v>26</v>
      </c>
      <c r="D717" s="1" t="s">
        <v>45</v>
      </c>
      <c r="E717" s="1" t="s">
        <v>27</v>
      </c>
      <c r="F717" s="1" t="s">
        <v>16</v>
      </c>
      <c r="G717" s="2">
        <v>45103</v>
      </c>
      <c r="H717">
        <v>9</v>
      </c>
      <c r="I717">
        <v>33371</v>
      </c>
      <c r="J717" s="1" t="s">
        <v>24</v>
      </c>
      <c r="K717">
        <v>2023</v>
      </c>
      <c r="L717" t="s">
        <v>40</v>
      </c>
      <c r="M717" t="s">
        <v>29</v>
      </c>
      <c r="N717">
        <v>6</v>
      </c>
    </row>
    <row r="718" spans="1:14" x14ac:dyDescent="0.25">
      <c r="A718">
        <v>717</v>
      </c>
      <c r="B718" s="1" t="s">
        <v>13</v>
      </c>
      <c r="C718">
        <v>47</v>
      </c>
      <c r="D718" s="1" t="s">
        <v>30</v>
      </c>
      <c r="E718" s="1" t="s">
        <v>15</v>
      </c>
      <c r="F718" s="1" t="s">
        <v>28</v>
      </c>
      <c r="G718" s="2">
        <v>45153</v>
      </c>
      <c r="H718">
        <v>14</v>
      </c>
      <c r="I718">
        <v>42874</v>
      </c>
      <c r="J718" s="1" t="s">
        <v>39</v>
      </c>
      <c r="K718">
        <v>2023</v>
      </c>
      <c r="L718" t="s">
        <v>47</v>
      </c>
      <c r="M718" t="s">
        <v>38</v>
      </c>
      <c r="N718">
        <v>8</v>
      </c>
    </row>
    <row r="719" spans="1:14" x14ac:dyDescent="0.25">
      <c r="A719">
        <v>718</v>
      </c>
      <c r="B719" s="1" t="s">
        <v>20</v>
      </c>
      <c r="C719">
        <v>32</v>
      </c>
      <c r="D719" s="1" t="s">
        <v>37</v>
      </c>
      <c r="E719" s="1" t="s">
        <v>15</v>
      </c>
      <c r="F719" s="1" t="s">
        <v>32</v>
      </c>
      <c r="G719" s="2">
        <v>45192</v>
      </c>
      <c r="H719">
        <v>8</v>
      </c>
      <c r="I719">
        <v>13826</v>
      </c>
      <c r="J719" s="1" t="s">
        <v>24</v>
      </c>
      <c r="K719">
        <v>2023</v>
      </c>
      <c r="L719" t="s">
        <v>44</v>
      </c>
      <c r="M719" t="s">
        <v>29</v>
      </c>
      <c r="N719">
        <v>9</v>
      </c>
    </row>
    <row r="720" spans="1:14" x14ac:dyDescent="0.25">
      <c r="A720">
        <v>719</v>
      </c>
      <c r="B720" s="1" t="s">
        <v>20</v>
      </c>
      <c r="C720">
        <v>10</v>
      </c>
      <c r="D720" s="1" t="s">
        <v>14</v>
      </c>
      <c r="E720" s="1" t="s">
        <v>27</v>
      </c>
      <c r="F720" s="1" t="s">
        <v>32</v>
      </c>
      <c r="G720" s="2">
        <v>45052</v>
      </c>
      <c r="H720">
        <v>13</v>
      </c>
      <c r="I720">
        <v>36420</v>
      </c>
      <c r="J720" s="1" t="s">
        <v>24</v>
      </c>
      <c r="K720">
        <v>2023</v>
      </c>
      <c r="L720" t="s">
        <v>42</v>
      </c>
      <c r="M720" t="s">
        <v>25</v>
      </c>
      <c r="N720">
        <v>5</v>
      </c>
    </row>
    <row r="721" spans="1:14" x14ac:dyDescent="0.25">
      <c r="A721">
        <v>720</v>
      </c>
      <c r="B721" s="1" t="s">
        <v>20</v>
      </c>
      <c r="C721">
        <v>16</v>
      </c>
      <c r="D721" s="1" t="s">
        <v>30</v>
      </c>
      <c r="E721" s="1" t="s">
        <v>35</v>
      </c>
      <c r="F721" s="1" t="s">
        <v>28</v>
      </c>
      <c r="G721" s="2">
        <v>45208</v>
      </c>
      <c r="H721">
        <v>13</v>
      </c>
      <c r="I721">
        <v>23924</v>
      </c>
      <c r="J721" s="1" t="s">
        <v>39</v>
      </c>
      <c r="K721">
        <v>2023</v>
      </c>
      <c r="L721" t="s">
        <v>41</v>
      </c>
      <c r="M721" t="s">
        <v>25</v>
      </c>
      <c r="N721">
        <v>10</v>
      </c>
    </row>
    <row r="722" spans="1:14" x14ac:dyDescent="0.25">
      <c r="A722">
        <v>721</v>
      </c>
      <c r="B722" s="1" t="s">
        <v>20</v>
      </c>
      <c r="C722">
        <v>71</v>
      </c>
      <c r="D722" s="1" t="s">
        <v>34</v>
      </c>
      <c r="E722" s="1" t="s">
        <v>27</v>
      </c>
      <c r="F722" s="1" t="s">
        <v>28</v>
      </c>
      <c r="G722" s="2">
        <v>45157</v>
      </c>
      <c r="H722">
        <v>1</v>
      </c>
      <c r="I722">
        <v>35367</v>
      </c>
      <c r="J722" s="1" t="s">
        <v>39</v>
      </c>
      <c r="K722">
        <v>2023</v>
      </c>
      <c r="L722" t="s">
        <v>47</v>
      </c>
      <c r="M722" t="s">
        <v>19</v>
      </c>
      <c r="N722">
        <v>8</v>
      </c>
    </row>
    <row r="723" spans="1:14" x14ac:dyDescent="0.25">
      <c r="A723">
        <v>722</v>
      </c>
      <c r="B723" s="1" t="s">
        <v>13</v>
      </c>
      <c r="C723">
        <v>17</v>
      </c>
      <c r="D723" s="1" t="s">
        <v>14</v>
      </c>
      <c r="E723" s="1" t="s">
        <v>27</v>
      </c>
      <c r="F723" s="1" t="s">
        <v>23</v>
      </c>
      <c r="G723" s="2">
        <v>45004</v>
      </c>
      <c r="H723">
        <v>1</v>
      </c>
      <c r="I723">
        <v>23199</v>
      </c>
      <c r="J723" s="1" t="s">
        <v>24</v>
      </c>
      <c r="K723">
        <v>2023</v>
      </c>
      <c r="L723" t="s">
        <v>43</v>
      </c>
      <c r="M723" t="s">
        <v>25</v>
      </c>
      <c r="N723">
        <v>3</v>
      </c>
    </row>
    <row r="724" spans="1:14" x14ac:dyDescent="0.25">
      <c r="A724">
        <v>723</v>
      </c>
      <c r="B724" s="1" t="s">
        <v>20</v>
      </c>
      <c r="C724">
        <v>23</v>
      </c>
      <c r="D724" s="1" t="s">
        <v>30</v>
      </c>
      <c r="E724" s="1" t="s">
        <v>22</v>
      </c>
      <c r="F724" s="1" t="s">
        <v>16</v>
      </c>
      <c r="G724" s="2">
        <v>44953</v>
      </c>
      <c r="H724">
        <v>5</v>
      </c>
      <c r="I724">
        <v>27868</v>
      </c>
      <c r="J724" s="1" t="s">
        <v>24</v>
      </c>
      <c r="K724">
        <v>2023</v>
      </c>
      <c r="L724" t="s">
        <v>48</v>
      </c>
      <c r="M724" t="s">
        <v>29</v>
      </c>
      <c r="N724">
        <v>1</v>
      </c>
    </row>
    <row r="725" spans="1:14" x14ac:dyDescent="0.25">
      <c r="A725">
        <v>724</v>
      </c>
      <c r="B725" s="1" t="s">
        <v>13</v>
      </c>
      <c r="C725">
        <v>26</v>
      </c>
      <c r="D725" s="1" t="s">
        <v>14</v>
      </c>
      <c r="E725" s="1" t="s">
        <v>22</v>
      </c>
      <c r="F725" s="1" t="s">
        <v>16</v>
      </c>
      <c r="G725" s="2">
        <v>45237</v>
      </c>
      <c r="H725">
        <v>6</v>
      </c>
      <c r="I725">
        <v>10792</v>
      </c>
      <c r="J725" s="1" t="s">
        <v>24</v>
      </c>
      <c r="K725">
        <v>2023</v>
      </c>
      <c r="L725" t="s">
        <v>18</v>
      </c>
      <c r="M725" t="s">
        <v>29</v>
      </c>
      <c r="N725">
        <v>11</v>
      </c>
    </row>
    <row r="726" spans="1:14" x14ac:dyDescent="0.25">
      <c r="A726">
        <v>725</v>
      </c>
      <c r="B726" s="1" t="s">
        <v>13</v>
      </c>
      <c r="C726">
        <v>85</v>
      </c>
      <c r="D726" s="1" t="s">
        <v>14</v>
      </c>
      <c r="E726" s="1" t="s">
        <v>22</v>
      </c>
      <c r="F726" s="1" t="s">
        <v>23</v>
      </c>
      <c r="G726" s="2">
        <v>44981</v>
      </c>
      <c r="H726">
        <v>3</v>
      </c>
      <c r="I726">
        <v>22597</v>
      </c>
      <c r="J726" s="1" t="s">
        <v>39</v>
      </c>
      <c r="K726">
        <v>2023</v>
      </c>
      <c r="L726" t="s">
        <v>46</v>
      </c>
      <c r="M726" t="s">
        <v>19</v>
      </c>
      <c r="N726">
        <v>2</v>
      </c>
    </row>
    <row r="727" spans="1:14" x14ac:dyDescent="0.25">
      <c r="A727">
        <v>726</v>
      </c>
      <c r="B727" s="1" t="s">
        <v>13</v>
      </c>
      <c r="C727">
        <v>86</v>
      </c>
      <c r="D727" s="1" t="s">
        <v>14</v>
      </c>
      <c r="E727" s="1" t="s">
        <v>35</v>
      </c>
      <c r="F727" s="1" t="s">
        <v>32</v>
      </c>
      <c r="G727" s="2">
        <v>45132</v>
      </c>
      <c r="H727">
        <v>13</v>
      </c>
      <c r="I727">
        <v>38405</v>
      </c>
      <c r="J727" s="1" t="s">
        <v>24</v>
      </c>
      <c r="K727">
        <v>2023</v>
      </c>
      <c r="L727" t="s">
        <v>36</v>
      </c>
      <c r="M727" t="s">
        <v>19</v>
      </c>
      <c r="N727">
        <v>7</v>
      </c>
    </row>
    <row r="728" spans="1:14" x14ac:dyDescent="0.25">
      <c r="A728">
        <v>727</v>
      </c>
      <c r="B728" s="1" t="s">
        <v>13</v>
      </c>
      <c r="C728">
        <v>7</v>
      </c>
      <c r="D728" s="1" t="s">
        <v>37</v>
      </c>
      <c r="E728" s="1" t="s">
        <v>35</v>
      </c>
      <c r="F728" s="1" t="s">
        <v>28</v>
      </c>
      <c r="G728" s="2">
        <v>45134</v>
      </c>
      <c r="H728">
        <v>9</v>
      </c>
      <c r="I728">
        <v>34696</v>
      </c>
      <c r="J728" s="1" t="s">
        <v>24</v>
      </c>
      <c r="K728">
        <v>2023</v>
      </c>
      <c r="L728" t="s">
        <v>36</v>
      </c>
      <c r="M728" t="s">
        <v>25</v>
      </c>
      <c r="N728">
        <v>7</v>
      </c>
    </row>
    <row r="729" spans="1:14" x14ac:dyDescent="0.25">
      <c r="A729">
        <v>728</v>
      </c>
      <c r="B729" s="1" t="s">
        <v>13</v>
      </c>
      <c r="C729">
        <v>14</v>
      </c>
      <c r="D729" s="1" t="s">
        <v>34</v>
      </c>
      <c r="E729" s="1" t="s">
        <v>27</v>
      </c>
      <c r="F729" s="1" t="s">
        <v>28</v>
      </c>
      <c r="G729" s="2">
        <v>44990</v>
      </c>
      <c r="H729">
        <v>12</v>
      </c>
      <c r="I729">
        <v>45123</v>
      </c>
      <c r="J729" s="1" t="s">
        <v>39</v>
      </c>
      <c r="K729">
        <v>2023</v>
      </c>
      <c r="L729" t="s">
        <v>43</v>
      </c>
      <c r="M729" t="s">
        <v>25</v>
      </c>
      <c r="N729">
        <v>3</v>
      </c>
    </row>
    <row r="730" spans="1:14" x14ac:dyDescent="0.25">
      <c r="A730">
        <v>729</v>
      </c>
      <c r="B730" s="1" t="s">
        <v>13</v>
      </c>
      <c r="C730">
        <v>79</v>
      </c>
      <c r="D730" s="1" t="s">
        <v>21</v>
      </c>
      <c r="E730" s="1" t="s">
        <v>22</v>
      </c>
      <c r="F730" s="1" t="s">
        <v>28</v>
      </c>
      <c r="G730" s="2">
        <v>45167</v>
      </c>
      <c r="H730">
        <v>10</v>
      </c>
      <c r="I730">
        <v>17989</v>
      </c>
      <c r="J730" s="1" t="s">
        <v>24</v>
      </c>
      <c r="K730">
        <v>2023</v>
      </c>
      <c r="L730" t="s">
        <v>47</v>
      </c>
      <c r="M730" t="s">
        <v>19</v>
      </c>
      <c r="N730">
        <v>8</v>
      </c>
    </row>
    <row r="731" spans="1:14" x14ac:dyDescent="0.25">
      <c r="A731">
        <v>730</v>
      </c>
      <c r="B731" s="1" t="s">
        <v>20</v>
      </c>
      <c r="C731">
        <v>7</v>
      </c>
      <c r="D731" s="1" t="s">
        <v>21</v>
      </c>
      <c r="E731" s="1" t="s">
        <v>35</v>
      </c>
      <c r="F731" s="1" t="s">
        <v>32</v>
      </c>
      <c r="G731" s="2">
        <v>44967</v>
      </c>
      <c r="H731">
        <v>14</v>
      </c>
      <c r="I731">
        <v>30931</v>
      </c>
      <c r="J731" s="1" t="s">
        <v>24</v>
      </c>
      <c r="K731">
        <v>2023</v>
      </c>
      <c r="L731" t="s">
        <v>46</v>
      </c>
      <c r="M731" t="s">
        <v>25</v>
      </c>
      <c r="N731">
        <v>2</v>
      </c>
    </row>
    <row r="732" spans="1:14" x14ac:dyDescent="0.25">
      <c r="A732">
        <v>731</v>
      </c>
      <c r="B732" s="1" t="s">
        <v>13</v>
      </c>
      <c r="C732">
        <v>9</v>
      </c>
      <c r="D732" s="1" t="s">
        <v>30</v>
      </c>
      <c r="E732" s="1" t="s">
        <v>15</v>
      </c>
      <c r="F732" s="1" t="s">
        <v>28</v>
      </c>
      <c r="G732" s="2">
        <v>45147</v>
      </c>
      <c r="H732">
        <v>6</v>
      </c>
      <c r="I732">
        <v>11290</v>
      </c>
      <c r="J732" s="1" t="s">
        <v>24</v>
      </c>
      <c r="K732">
        <v>2023</v>
      </c>
      <c r="L732" t="s">
        <v>47</v>
      </c>
      <c r="M732" t="s">
        <v>25</v>
      </c>
      <c r="N732">
        <v>8</v>
      </c>
    </row>
    <row r="733" spans="1:14" x14ac:dyDescent="0.25">
      <c r="A733">
        <v>732</v>
      </c>
      <c r="B733" s="1" t="s">
        <v>13</v>
      </c>
      <c r="C733">
        <v>48</v>
      </c>
      <c r="D733" s="1" t="s">
        <v>14</v>
      </c>
      <c r="E733" s="1" t="s">
        <v>27</v>
      </c>
      <c r="F733" s="1" t="s">
        <v>28</v>
      </c>
      <c r="G733" s="2">
        <v>45116</v>
      </c>
      <c r="H733">
        <v>4</v>
      </c>
      <c r="I733">
        <v>40367</v>
      </c>
      <c r="J733" s="1" t="s">
        <v>24</v>
      </c>
      <c r="K733">
        <v>2023</v>
      </c>
      <c r="L733" t="s">
        <v>36</v>
      </c>
      <c r="M733" t="s">
        <v>38</v>
      </c>
      <c r="N733">
        <v>7</v>
      </c>
    </row>
    <row r="734" spans="1:14" x14ac:dyDescent="0.25">
      <c r="A734">
        <v>733</v>
      </c>
      <c r="B734" s="1" t="s">
        <v>13</v>
      </c>
      <c r="C734">
        <v>72</v>
      </c>
      <c r="D734" s="1" t="s">
        <v>30</v>
      </c>
      <c r="E734" s="1" t="s">
        <v>31</v>
      </c>
      <c r="F734" s="1" t="s">
        <v>23</v>
      </c>
      <c r="G734" s="2">
        <v>45269</v>
      </c>
      <c r="H734">
        <v>12</v>
      </c>
      <c r="I734">
        <v>16342</v>
      </c>
      <c r="J734" s="1" t="s">
        <v>24</v>
      </c>
      <c r="K734">
        <v>2023</v>
      </c>
      <c r="L734" t="s">
        <v>26</v>
      </c>
      <c r="M734" t="s">
        <v>19</v>
      </c>
      <c r="N734">
        <v>12</v>
      </c>
    </row>
    <row r="735" spans="1:14" x14ac:dyDescent="0.25">
      <c r="A735">
        <v>734</v>
      </c>
      <c r="B735" s="1" t="s">
        <v>20</v>
      </c>
      <c r="C735">
        <v>59</v>
      </c>
      <c r="D735" s="1" t="s">
        <v>37</v>
      </c>
      <c r="E735" s="1" t="s">
        <v>27</v>
      </c>
      <c r="F735" s="1" t="s">
        <v>32</v>
      </c>
      <c r="G735" s="2">
        <v>45098</v>
      </c>
      <c r="H735">
        <v>7</v>
      </c>
      <c r="I735">
        <v>26941</v>
      </c>
      <c r="J735" s="1" t="s">
        <v>24</v>
      </c>
      <c r="K735">
        <v>2023</v>
      </c>
      <c r="L735" t="s">
        <v>40</v>
      </c>
      <c r="M735" t="s">
        <v>38</v>
      </c>
      <c r="N735">
        <v>6</v>
      </c>
    </row>
    <row r="736" spans="1:14" x14ac:dyDescent="0.25">
      <c r="A736">
        <v>735</v>
      </c>
      <c r="B736" s="1" t="s">
        <v>20</v>
      </c>
      <c r="C736">
        <v>87</v>
      </c>
      <c r="D736" s="1" t="s">
        <v>37</v>
      </c>
      <c r="E736" s="1" t="s">
        <v>31</v>
      </c>
      <c r="F736" s="1" t="s">
        <v>16</v>
      </c>
      <c r="G736" s="2">
        <v>45140</v>
      </c>
      <c r="H736">
        <v>8</v>
      </c>
      <c r="I736">
        <v>15945</v>
      </c>
      <c r="J736" s="1" t="s">
        <v>24</v>
      </c>
      <c r="K736">
        <v>2023</v>
      </c>
      <c r="L736" t="s">
        <v>47</v>
      </c>
      <c r="M736" t="s">
        <v>19</v>
      </c>
      <c r="N736">
        <v>8</v>
      </c>
    </row>
    <row r="737" spans="1:14" x14ac:dyDescent="0.25">
      <c r="A737">
        <v>736</v>
      </c>
      <c r="B737" s="1" t="s">
        <v>13</v>
      </c>
      <c r="C737">
        <v>82</v>
      </c>
      <c r="D737" s="1" t="s">
        <v>45</v>
      </c>
      <c r="E737" s="1" t="s">
        <v>22</v>
      </c>
      <c r="F737" s="1" t="s">
        <v>23</v>
      </c>
      <c r="G737" s="2">
        <v>44952</v>
      </c>
      <c r="H737">
        <v>9</v>
      </c>
      <c r="I737">
        <v>12762</v>
      </c>
      <c r="J737" s="1" t="s">
        <v>24</v>
      </c>
      <c r="K737">
        <v>2023</v>
      </c>
      <c r="L737" t="s">
        <v>48</v>
      </c>
      <c r="M737" t="s">
        <v>19</v>
      </c>
      <c r="N737">
        <v>1</v>
      </c>
    </row>
    <row r="738" spans="1:14" x14ac:dyDescent="0.25">
      <c r="A738">
        <v>737</v>
      </c>
      <c r="B738" s="1" t="s">
        <v>20</v>
      </c>
      <c r="C738">
        <v>39</v>
      </c>
      <c r="D738" s="1" t="s">
        <v>37</v>
      </c>
      <c r="E738" s="1" t="s">
        <v>31</v>
      </c>
      <c r="F738" s="1" t="s">
        <v>23</v>
      </c>
      <c r="G738" s="2">
        <v>45158</v>
      </c>
      <c r="H738">
        <v>13</v>
      </c>
      <c r="I738">
        <v>32133</v>
      </c>
      <c r="J738" s="1" t="s">
        <v>24</v>
      </c>
      <c r="K738">
        <v>2023</v>
      </c>
      <c r="L738" t="s">
        <v>47</v>
      </c>
      <c r="M738" t="s">
        <v>29</v>
      </c>
      <c r="N738">
        <v>8</v>
      </c>
    </row>
    <row r="739" spans="1:14" x14ac:dyDescent="0.25">
      <c r="A739">
        <v>738</v>
      </c>
      <c r="B739" s="1" t="s">
        <v>13</v>
      </c>
      <c r="C739">
        <v>18</v>
      </c>
      <c r="D739" s="1" t="s">
        <v>45</v>
      </c>
      <c r="E739" s="1" t="s">
        <v>22</v>
      </c>
      <c r="F739" s="1" t="s">
        <v>16</v>
      </c>
      <c r="G739" s="2">
        <v>45221</v>
      </c>
      <c r="H739">
        <v>11</v>
      </c>
      <c r="I739">
        <v>49080</v>
      </c>
      <c r="J739" s="1" t="s">
        <v>17</v>
      </c>
      <c r="K739">
        <v>2023</v>
      </c>
      <c r="L739" t="s">
        <v>41</v>
      </c>
      <c r="M739" t="s">
        <v>29</v>
      </c>
      <c r="N739">
        <v>10</v>
      </c>
    </row>
    <row r="740" spans="1:14" x14ac:dyDescent="0.25">
      <c r="A740">
        <v>739</v>
      </c>
      <c r="B740" s="1" t="s">
        <v>13</v>
      </c>
      <c r="C740">
        <v>59</v>
      </c>
      <c r="D740" s="1" t="s">
        <v>34</v>
      </c>
      <c r="E740" s="1" t="s">
        <v>15</v>
      </c>
      <c r="F740" s="1" t="s">
        <v>23</v>
      </c>
      <c r="G740" s="2">
        <v>45114</v>
      </c>
      <c r="H740">
        <v>6</v>
      </c>
      <c r="I740">
        <v>42150</v>
      </c>
      <c r="J740" s="1" t="s">
        <v>17</v>
      </c>
      <c r="K740">
        <v>2023</v>
      </c>
      <c r="L740" t="s">
        <v>36</v>
      </c>
      <c r="M740" t="s">
        <v>38</v>
      </c>
      <c r="N740">
        <v>7</v>
      </c>
    </row>
    <row r="741" spans="1:14" x14ac:dyDescent="0.25">
      <c r="A741">
        <v>740</v>
      </c>
      <c r="B741" s="1" t="s">
        <v>20</v>
      </c>
      <c r="C741">
        <v>17</v>
      </c>
      <c r="D741" s="1" t="s">
        <v>30</v>
      </c>
      <c r="E741" s="1" t="s">
        <v>31</v>
      </c>
      <c r="F741" s="1" t="s">
        <v>32</v>
      </c>
      <c r="G741" s="2">
        <v>44977</v>
      </c>
      <c r="H741">
        <v>6</v>
      </c>
      <c r="I741">
        <v>29052</v>
      </c>
      <c r="J741" s="1" t="s">
        <v>24</v>
      </c>
      <c r="K741">
        <v>2023</v>
      </c>
      <c r="L741" t="s">
        <v>46</v>
      </c>
      <c r="M741" t="s">
        <v>25</v>
      </c>
      <c r="N741">
        <v>2</v>
      </c>
    </row>
    <row r="742" spans="1:14" x14ac:dyDescent="0.25">
      <c r="A742">
        <v>741</v>
      </c>
      <c r="B742" s="1" t="s">
        <v>13</v>
      </c>
      <c r="C742">
        <v>14</v>
      </c>
      <c r="D742" s="1" t="s">
        <v>34</v>
      </c>
      <c r="E742" s="1" t="s">
        <v>27</v>
      </c>
      <c r="F742" s="1" t="s">
        <v>28</v>
      </c>
      <c r="G742" s="2">
        <v>45165</v>
      </c>
      <c r="H742">
        <v>8</v>
      </c>
      <c r="I742">
        <v>43750</v>
      </c>
      <c r="J742" s="1" t="s">
        <v>24</v>
      </c>
      <c r="K742">
        <v>2023</v>
      </c>
      <c r="L742" t="s">
        <v>47</v>
      </c>
      <c r="M742" t="s">
        <v>25</v>
      </c>
      <c r="N742">
        <v>8</v>
      </c>
    </row>
    <row r="743" spans="1:14" x14ac:dyDescent="0.25">
      <c r="A743">
        <v>742</v>
      </c>
      <c r="B743" s="1" t="s">
        <v>20</v>
      </c>
      <c r="C743">
        <v>31</v>
      </c>
      <c r="D743" s="1" t="s">
        <v>37</v>
      </c>
      <c r="E743" s="1" t="s">
        <v>22</v>
      </c>
      <c r="F743" s="1" t="s">
        <v>32</v>
      </c>
      <c r="G743" s="2">
        <v>45141</v>
      </c>
      <c r="H743">
        <v>12</v>
      </c>
      <c r="I743">
        <v>21953</v>
      </c>
      <c r="J743" s="1" t="s">
        <v>24</v>
      </c>
      <c r="K743">
        <v>2023</v>
      </c>
      <c r="L743" t="s">
        <v>47</v>
      </c>
      <c r="M743" t="s">
        <v>29</v>
      </c>
      <c r="N743">
        <v>8</v>
      </c>
    </row>
    <row r="744" spans="1:14" x14ac:dyDescent="0.25">
      <c r="A744">
        <v>743</v>
      </c>
      <c r="B744" s="1" t="s">
        <v>20</v>
      </c>
      <c r="C744">
        <v>24</v>
      </c>
      <c r="D744" s="1" t="s">
        <v>34</v>
      </c>
      <c r="E744" s="1" t="s">
        <v>27</v>
      </c>
      <c r="F744" s="1" t="s">
        <v>16</v>
      </c>
      <c r="G744" s="2">
        <v>45258</v>
      </c>
      <c r="H744">
        <v>5</v>
      </c>
      <c r="I744">
        <v>42475</v>
      </c>
      <c r="J744" s="1" t="s">
        <v>39</v>
      </c>
      <c r="K744">
        <v>2023</v>
      </c>
      <c r="L744" t="s">
        <v>18</v>
      </c>
      <c r="M744" t="s">
        <v>29</v>
      </c>
      <c r="N744">
        <v>11</v>
      </c>
    </row>
    <row r="745" spans="1:14" x14ac:dyDescent="0.25">
      <c r="A745">
        <v>744</v>
      </c>
      <c r="B745" s="1" t="s">
        <v>13</v>
      </c>
      <c r="C745">
        <v>60</v>
      </c>
      <c r="D745" s="1" t="s">
        <v>34</v>
      </c>
      <c r="E745" s="1" t="s">
        <v>35</v>
      </c>
      <c r="F745" s="1" t="s">
        <v>16</v>
      </c>
      <c r="G745" s="2">
        <v>45209</v>
      </c>
      <c r="H745">
        <v>14</v>
      </c>
      <c r="I745">
        <v>19130</v>
      </c>
      <c r="J745" s="1" t="s">
        <v>24</v>
      </c>
      <c r="K745">
        <v>2023</v>
      </c>
      <c r="L745" t="s">
        <v>41</v>
      </c>
      <c r="M745" t="s">
        <v>19</v>
      </c>
      <c r="N745">
        <v>10</v>
      </c>
    </row>
    <row r="746" spans="1:14" x14ac:dyDescent="0.25">
      <c r="A746">
        <v>745</v>
      </c>
      <c r="B746" s="1" t="s">
        <v>13</v>
      </c>
      <c r="C746">
        <v>45</v>
      </c>
      <c r="D746" s="1" t="s">
        <v>34</v>
      </c>
      <c r="E746" s="1" t="s">
        <v>22</v>
      </c>
      <c r="F746" s="1" t="s">
        <v>23</v>
      </c>
      <c r="G746" s="2">
        <v>45147</v>
      </c>
      <c r="H746">
        <v>3</v>
      </c>
      <c r="I746">
        <v>33086</v>
      </c>
      <c r="J746" s="1" t="s">
        <v>17</v>
      </c>
      <c r="K746">
        <v>2023</v>
      </c>
      <c r="L746" t="s">
        <v>47</v>
      </c>
      <c r="M746" t="s">
        <v>38</v>
      </c>
      <c r="N746">
        <v>8</v>
      </c>
    </row>
    <row r="747" spans="1:14" x14ac:dyDescent="0.25">
      <c r="A747">
        <v>746</v>
      </c>
      <c r="B747" s="1" t="s">
        <v>20</v>
      </c>
      <c r="C747">
        <v>3</v>
      </c>
      <c r="D747" s="1" t="s">
        <v>37</v>
      </c>
      <c r="E747" s="1" t="s">
        <v>31</v>
      </c>
      <c r="F747" s="1" t="s">
        <v>32</v>
      </c>
      <c r="G747" s="2">
        <v>45281</v>
      </c>
      <c r="H747">
        <v>12</v>
      </c>
      <c r="I747">
        <v>6633</v>
      </c>
      <c r="J747" s="1" t="s">
        <v>24</v>
      </c>
      <c r="K747">
        <v>2023</v>
      </c>
      <c r="L747" t="s">
        <v>26</v>
      </c>
      <c r="M747" t="s">
        <v>25</v>
      </c>
      <c r="N747">
        <v>12</v>
      </c>
    </row>
    <row r="748" spans="1:14" x14ac:dyDescent="0.25">
      <c r="A748">
        <v>747</v>
      </c>
      <c r="B748" s="1" t="s">
        <v>13</v>
      </c>
      <c r="C748">
        <v>37</v>
      </c>
      <c r="D748" s="1" t="s">
        <v>14</v>
      </c>
      <c r="E748" s="1" t="s">
        <v>22</v>
      </c>
      <c r="F748" s="1" t="s">
        <v>32</v>
      </c>
      <c r="G748" s="2">
        <v>44940</v>
      </c>
      <c r="H748">
        <v>3</v>
      </c>
      <c r="I748">
        <v>19304</v>
      </c>
      <c r="J748" s="1" t="s">
        <v>17</v>
      </c>
      <c r="K748">
        <v>2023</v>
      </c>
      <c r="L748" t="s">
        <v>48</v>
      </c>
      <c r="M748" t="s">
        <v>29</v>
      </c>
      <c r="N748">
        <v>1</v>
      </c>
    </row>
    <row r="749" spans="1:14" x14ac:dyDescent="0.25">
      <c r="A749">
        <v>748</v>
      </c>
      <c r="B749" s="1" t="s">
        <v>13</v>
      </c>
      <c r="C749">
        <v>43</v>
      </c>
      <c r="D749" s="1" t="s">
        <v>34</v>
      </c>
      <c r="E749" s="1" t="s">
        <v>27</v>
      </c>
      <c r="F749" s="1" t="s">
        <v>16</v>
      </c>
      <c r="G749" s="2">
        <v>45149</v>
      </c>
      <c r="H749">
        <v>13</v>
      </c>
      <c r="I749">
        <v>44037</v>
      </c>
      <c r="J749" s="1" t="s">
        <v>39</v>
      </c>
      <c r="K749">
        <v>2023</v>
      </c>
      <c r="L749" t="s">
        <v>47</v>
      </c>
      <c r="M749" t="s">
        <v>38</v>
      </c>
      <c r="N749">
        <v>8</v>
      </c>
    </row>
    <row r="750" spans="1:14" x14ac:dyDescent="0.25">
      <c r="A750">
        <v>749</v>
      </c>
      <c r="B750" s="1" t="s">
        <v>13</v>
      </c>
      <c r="C750">
        <v>40</v>
      </c>
      <c r="D750" s="1" t="s">
        <v>45</v>
      </c>
      <c r="E750" s="1" t="s">
        <v>15</v>
      </c>
      <c r="F750" s="1" t="s">
        <v>32</v>
      </c>
      <c r="G750" s="2">
        <v>45154</v>
      </c>
      <c r="H750">
        <v>6</v>
      </c>
      <c r="I750">
        <v>34284</v>
      </c>
      <c r="J750" s="1" t="s">
        <v>39</v>
      </c>
      <c r="K750">
        <v>2023</v>
      </c>
      <c r="L750" t="s">
        <v>47</v>
      </c>
      <c r="M750" t="s">
        <v>38</v>
      </c>
      <c r="N750">
        <v>8</v>
      </c>
    </row>
    <row r="751" spans="1:14" x14ac:dyDescent="0.25">
      <c r="A751">
        <v>750</v>
      </c>
      <c r="B751" s="1" t="s">
        <v>20</v>
      </c>
      <c r="C751">
        <v>55</v>
      </c>
      <c r="D751" s="1" t="s">
        <v>37</v>
      </c>
      <c r="E751" s="1" t="s">
        <v>22</v>
      </c>
      <c r="F751" s="1" t="s">
        <v>16</v>
      </c>
      <c r="G751" s="2">
        <v>44972</v>
      </c>
      <c r="H751">
        <v>2</v>
      </c>
      <c r="I751">
        <v>48546</v>
      </c>
      <c r="J751" s="1" t="s">
        <v>24</v>
      </c>
      <c r="K751">
        <v>2023</v>
      </c>
      <c r="L751" t="s">
        <v>46</v>
      </c>
      <c r="M751" t="s">
        <v>38</v>
      </c>
      <c r="N751">
        <v>2</v>
      </c>
    </row>
    <row r="752" spans="1:14" x14ac:dyDescent="0.25">
      <c r="A752">
        <v>751</v>
      </c>
      <c r="B752" s="1" t="s">
        <v>20</v>
      </c>
      <c r="C752">
        <v>87</v>
      </c>
      <c r="D752" s="1" t="s">
        <v>34</v>
      </c>
      <c r="E752" s="1" t="s">
        <v>31</v>
      </c>
      <c r="F752" s="1" t="s">
        <v>32</v>
      </c>
      <c r="G752" s="2">
        <v>45069</v>
      </c>
      <c r="H752">
        <v>6</v>
      </c>
      <c r="I752">
        <v>9008</v>
      </c>
      <c r="J752" s="1" t="s">
        <v>24</v>
      </c>
      <c r="K752">
        <v>2023</v>
      </c>
      <c r="L752" t="s">
        <v>42</v>
      </c>
      <c r="M752" t="s">
        <v>19</v>
      </c>
      <c r="N752">
        <v>5</v>
      </c>
    </row>
    <row r="753" spans="1:14" x14ac:dyDescent="0.25">
      <c r="A753">
        <v>752</v>
      </c>
      <c r="B753" s="1" t="s">
        <v>13</v>
      </c>
      <c r="C753">
        <v>39</v>
      </c>
      <c r="D753" s="1" t="s">
        <v>14</v>
      </c>
      <c r="E753" s="1" t="s">
        <v>35</v>
      </c>
      <c r="F753" s="1" t="s">
        <v>32</v>
      </c>
      <c r="G753" s="2">
        <v>44958</v>
      </c>
      <c r="H753">
        <v>13</v>
      </c>
      <c r="I753">
        <v>29405</v>
      </c>
      <c r="J753" s="1" t="s">
        <v>24</v>
      </c>
      <c r="K753">
        <v>2023</v>
      </c>
      <c r="L753" t="s">
        <v>46</v>
      </c>
      <c r="M753" t="s">
        <v>29</v>
      </c>
      <c r="N753">
        <v>2</v>
      </c>
    </row>
    <row r="754" spans="1:14" x14ac:dyDescent="0.25">
      <c r="A754">
        <v>753</v>
      </c>
      <c r="B754" s="1" t="s">
        <v>20</v>
      </c>
      <c r="C754">
        <v>15</v>
      </c>
      <c r="D754" s="1" t="s">
        <v>37</v>
      </c>
      <c r="E754" s="1" t="s">
        <v>15</v>
      </c>
      <c r="F754" s="1" t="s">
        <v>32</v>
      </c>
      <c r="G754" s="2">
        <v>44946</v>
      </c>
      <c r="H754">
        <v>6</v>
      </c>
      <c r="I754">
        <v>38386</v>
      </c>
      <c r="J754" s="1" t="s">
        <v>24</v>
      </c>
      <c r="K754">
        <v>2023</v>
      </c>
      <c r="L754" t="s">
        <v>48</v>
      </c>
      <c r="M754" t="s">
        <v>25</v>
      </c>
      <c r="N754">
        <v>1</v>
      </c>
    </row>
    <row r="755" spans="1:14" x14ac:dyDescent="0.25">
      <c r="A755">
        <v>754</v>
      </c>
      <c r="B755" s="1" t="s">
        <v>20</v>
      </c>
      <c r="C755">
        <v>4</v>
      </c>
      <c r="D755" s="1" t="s">
        <v>21</v>
      </c>
      <c r="E755" s="1" t="s">
        <v>35</v>
      </c>
      <c r="F755" s="1" t="s">
        <v>16</v>
      </c>
      <c r="G755" s="2">
        <v>45146</v>
      </c>
      <c r="H755">
        <v>8</v>
      </c>
      <c r="I755">
        <v>27373</v>
      </c>
      <c r="J755" s="1" t="s">
        <v>24</v>
      </c>
      <c r="K755">
        <v>2023</v>
      </c>
      <c r="L755" t="s">
        <v>47</v>
      </c>
      <c r="M755" t="s">
        <v>25</v>
      </c>
      <c r="N755">
        <v>8</v>
      </c>
    </row>
    <row r="756" spans="1:14" x14ac:dyDescent="0.25">
      <c r="A756">
        <v>755</v>
      </c>
      <c r="B756" s="1" t="s">
        <v>20</v>
      </c>
      <c r="C756">
        <v>86</v>
      </c>
      <c r="D756" s="1" t="s">
        <v>14</v>
      </c>
      <c r="E756" s="1" t="s">
        <v>22</v>
      </c>
      <c r="F756" s="1" t="s">
        <v>23</v>
      </c>
      <c r="G756" s="2">
        <v>45209</v>
      </c>
      <c r="H756">
        <v>7</v>
      </c>
      <c r="I756">
        <v>22827</v>
      </c>
      <c r="J756" s="1" t="s">
        <v>24</v>
      </c>
      <c r="K756">
        <v>2023</v>
      </c>
      <c r="L756" t="s">
        <v>41</v>
      </c>
      <c r="M756" t="s">
        <v>19</v>
      </c>
      <c r="N756">
        <v>10</v>
      </c>
    </row>
    <row r="757" spans="1:14" x14ac:dyDescent="0.25">
      <c r="A757">
        <v>756</v>
      </c>
      <c r="B757" s="1" t="s">
        <v>20</v>
      </c>
      <c r="C757">
        <v>25</v>
      </c>
      <c r="D757" s="1" t="s">
        <v>45</v>
      </c>
      <c r="E757" s="1" t="s">
        <v>27</v>
      </c>
      <c r="F757" s="1" t="s">
        <v>32</v>
      </c>
      <c r="G757" s="2">
        <v>45187</v>
      </c>
      <c r="H757">
        <v>8</v>
      </c>
      <c r="I757">
        <v>35040</v>
      </c>
      <c r="J757" s="1" t="s">
        <v>24</v>
      </c>
      <c r="K757">
        <v>2023</v>
      </c>
      <c r="L757" t="s">
        <v>44</v>
      </c>
      <c r="M757" t="s">
        <v>29</v>
      </c>
      <c r="N757">
        <v>9</v>
      </c>
    </row>
    <row r="758" spans="1:14" x14ac:dyDescent="0.25">
      <c r="A758">
        <v>757</v>
      </c>
      <c r="B758" s="1" t="s">
        <v>20</v>
      </c>
      <c r="C758">
        <v>13</v>
      </c>
      <c r="D758" s="1" t="s">
        <v>34</v>
      </c>
      <c r="E758" s="1" t="s">
        <v>27</v>
      </c>
      <c r="F758" s="1" t="s">
        <v>16</v>
      </c>
      <c r="G758" s="2">
        <v>45197</v>
      </c>
      <c r="H758">
        <v>14</v>
      </c>
      <c r="I758">
        <v>15007</v>
      </c>
      <c r="J758" s="1" t="s">
        <v>24</v>
      </c>
      <c r="K758">
        <v>2023</v>
      </c>
      <c r="L758" t="s">
        <v>44</v>
      </c>
      <c r="M758" t="s">
        <v>25</v>
      </c>
      <c r="N758">
        <v>9</v>
      </c>
    </row>
    <row r="759" spans="1:14" x14ac:dyDescent="0.25">
      <c r="A759">
        <v>758</v>
      </c>
      <c r="B759" s="1" t="s">
        <v>13</v>
      </c>
      <c r="C759">
        <v>82</v>
      </c>
      <c r="D759" s="1" t="s">
        <v>21</v>
      </c>
      <c r="E759" s="1" t="s">
        <v>31</v>
      </c>
      <c r="F759" s="1" t="s">
        <v>16</v>
      </c>
      <c r="G759" s="2">
        <v>45213</v>
      </c>
      <c r="H759">
        <v>9</v>
      </c>
      <c r="I759">
        <v>20157</v>
      </c>
      <c r="J759" s="1" t="s">
        <v>24</v>
      </c>
      <c r="K759">
        <v>2023</v>
      </c>
      <c r="L759" t="s">
        <v>41</v>
      </c>
      <c r="M759" t="s">
        <v>19</v>
      </c>
      <c r="N759">
        <v>10</v>
      </c>
    </row>
    <row r="760" spans="1:14" x14ac:dyDescent="0.25">
      <c r="A760">
        <v>759</v>
      </c>
      <c r="B760" s="1" t="s">
        <v>13</v>
      </c>
      <c r="C760">
        <v>33</v>
      </c>
      <c r="D760" s="1" t="s">
        <v>21</v>
      </c>
      <c r="E760" s="1" t="s">
        <v>27</v>
      </c>
      <c r="F760" s="1" t="s">
        <v>32</v>
      </c>
      <c r="G760" s="2">
        <v>45136</v>
      </c>
      <c r="H760">
        <v>6</v>
      </c>
      <c r="I760">
        <v>34157</v>
      </c>
      <c r="J760" s="1" t="s">
        <v>24</v>
      </c>
      <c r="K760">
        <v>2023</v>
      </c>
      <c r="L760" t="s">
        <v>36</v>
      </c>
      <c r="M760" t="s">
        <v>29</v>
      </c>
      <c r="N760">
        <v>7</v>
      </c>
    </row>
    <row r="761" spans="1:14" x14ac:dyDescent="0.25">
      <c r="A761">
        <v>760</v>
      </c>
      <c r="B761" s="1" t="s">
        <v>13</v>
      </c>
      <c r="C761">
        <v>16</v>
      </c>
      <c r="D761" s="1" t="s">
        <v>37</v>
      </c>
      <c r="E761" s="1" t="s">
        <v>15</v>
      </c>
      <c r="F761" s="1" t="s">
        <v>32</v>
      </c>
      <c r="G761" s="2">
        <v>45147</v>
      </c>
      <c r="H761">
        <v>14</v>
      </c>
      <c r="I761">
        <v>37315</v>
      </c>
      <c r="J761" s="1" t="s">
        <v>17</v>
      </c>
      <c r="K761">
        <v>2023</v>
      </c>
      <c r="L761" t="s">
        <v>47</v>
      </c>
      <c r="M761" t="s">
        <v>25</v>
      </c>
      <c r="N761">
        <v>8</v>
      </c>
    </row>
    <row r="762" spans="1:14" x14ac:dyDescent="0.25">
      <c r="A762">
        <v>761</v>
      </c>
      <c r="B762" s="1" t="s">
        <v>20</v>
      </c>
      <c r="C762">
        <v>42</v>
      </c>
      <c r="D762" s="1" t="s">
        <v>21</v>
      </c>
      <c r="E762" s="1" t="s">
        <v>27</v>
      </c>
      <c r="F762" s="1" t="s">
        <v>23</v>
      </c>
      <c r="G762" s="2">
        <v>44952</v>
      </c>
      <c r="H762">
        <v>3</v>
      </c>
      <c r="I762">
        <v>37932</v>
      </c>
      <c r="J762" s="1" t="s">
        <v>24</v>
      </c>
      <c r="K762">
        <v>2023</v>
      </c>
      <c r="L762" t="s">
        <v>48</v>
      </c>
      <c r="M762" t="s">
        <v>38</v>
      </c>
      <c r="N762">
        <v>1</v>
      </c>
    </row>
    <row r="763" spans="1:14" x14ac:dyDescent="0.25">
      <c r="A763">
        <v>762</v>
      </c>
      <c r="B763" s="1" t="s">
        <v>20</v>
      </c>
      <c r="C763">
        <v>66</v>
      </c>
      <c r="D763" s="1" t="s">
        <v>45</v>
      </c>
      <c r="E763" s="1" t="s">
        <v>31</v>
      </c>
      <c r="F763" s="1" t="s">
        <v>16</v>
      </c>
      <c r="G763" s="2">
        <v>45138</v>
      </c>
      <c r="H763">
        <v>10</v>
      </c>
      <c r="I763">
        <v>23164</v>
      </c>
      <c r="J763" s="1" t="s">
        <v>24</v>
      </c>
      <c r="K763">
        <v>2023</v>
      </c>
      <c r="L763" t="s">
        <v>36</v>
      </c>
      <c r="M763" t="s">
        <v>19</v>
      </c>
      <c r="N763">
        <v>7</v>
      </c>
    </row>
    <row r="764" spans="1:14" x14ac:dyDescent="0.25">
      <c r="A764">
        <v>763</v>
      </c>
      <c r="B764" s="1" t="s">
        <v>13</v>
      </c>
      <c r="C764">
        <v>55</v>
      </c>
      <c r="D764" s="1" t="s">
        <v>45</v>
      </c>
      <c r="E764" s="1" t="s">
        <v>22</v>
      </c>
      <c r="F764" s="1" t="s">
        <v>16</v>
      </c>
      <c r="G764" s="2">
        <v>44942</v>
      </c>
      <c r="H764">
        <v>3</v>
      </c>
      <c r="I764">
        <v>16414</v>
      </c>
      <c r="J764" s="1" t="s">
        <v>24</v>
      </c>
      <c r="K764">
        <v>2023</v>
      </c>
      <c r="L764" t="s">
        <v>48</v>
      </c>
      <c r="M764" t="s">
        <v>38</v>
      </c>
      <c r="N764">
        <v>1</v>
      </c>
    </row>
    <row r="765" spans="1:14" x14ac:dyDescent="0.25">
      <c r="A765">
        <v>764</v>
      </c>
      <c r="B765" s="1" t="s">
        <v>20</v>
      </c>
      <c r="C765">
        <v>42</v>
      </c>
      <c r="D765" s="1" t="s">
        <v>30</v>
      </c>
      <c r="E765" s="1" t="s">
        <v>22</v>
      </c>
      <c r="F765" s="1" t="s">
        <v>28</v>
      </c>
      <c r="G765" s="2">
        <v>45239</v>
      </c>
      <c r="H765">
        <v>11</v>
      </c>
      <c r="I765">
        <v>16327</v>
      </c>
      <c r="J765" s="1" t="s">
        <v>39</v>
      </c>
      <c r="K765">
        <v>2023</v>
      </c>
      <c r="L765" t="s">
        <v>18</v>
      </c>
      <c r="M765" t="s">
        <v>38</v>
      </c>
      <c r="N765">
        <v>11</v>
      </c>
    </row>
    <row r="766" spans="1:14" x14ac:dyDescent="0.25">
      <c r="A766">
        <v>765</v>
      </c>
      <c r="B766" s="1" t="s">
        <v>13</v>
      </c>
      <c r="C766">
        <v>34</v>
      </c>
      <c r="D766" s="1" t="s">
        <v>45</v>
      </c>
      <c r="E766" s="1" t="s">
        <v>27</v>
      </c>
      <c r="F766" s="1" t="s">
        <v>16</v>
      </c>
      <c r="G766" s="2">
        <v>45219</v>
      </c>
      <c r="H766">
        <v>12</v>
      </c>
      <c r="I766">
        <v>2946</v>
      </c>
      <c r="J766" s="1" t="s">
        <v>24</v>
      </c>
      <c r="K766">
        <v>2023</v>
      </c>
      <c r="L766" t="s">
        <v>41</v>
      </c>
      <c r="M766" t="s">
        <v>29</v>
      </c>
      <c r="N766">
        <v>10</v>
      </c>
    </row>
    <row r="767" spans="1:14" x14ac:dyDescent="0.25">
      <c r="A767">
        <v>766</v>
      </c>
      <c r="B767" s="1" t="s">
        <v>13</v>
      </c>
      <c r="C767">
        <v>30</v>
      </c>
      <c r="D767" s="1" t="s">
        <v>14</v>
      </c>
      <c r="E767" s="1" t="s">
        <v>35</v>
      </c>
      <c r="F767" s="1" t="s">
        <v>23</v>
      </c>
      <c r="G767" s="2">
        <v>44953</v>
      </c>
      <c r="H767">
        <v>1</v>
      </c>
      <c r="I767">
        <v>16693</v>
      </c>
      <c r="J767" s="1" t="s">
        <v>24</v>
      </c>
      <c r="K767">
        <v>2023</v>
      </c>
      <c r="L767" t="s">
        <v>48</v>
      </c>
      <c r="M767" t="s">
        <v>29</v>
      </c>
      <c r="N767">
        <v>1</v>
      </c>
    </row>
    <row r="768" spans="1:14" x14ac:dyDescent="0.25">
      <c r="A768">
        <v>767</v>
      </c>
      <c r="B768" s="1" t="s">
        <v>13</v>
      </c>
      <c r="C768">
        <v>13</v>
      </c>
      <c r="D768" s="1" t="s">
        <v>21</v>
      </c>
      <c r="E768" s="1" t="s">
        <v>22</v>
      </c>
      <c r="F768" s="1" t="s">
        <v>28</v>
      </c>
      <c r="G768" s="2">
        <v>45240</v>
      </c>
      <c r="H768">
        <v>11</v>
      </c>
      <c r="I768">
        <v>29241</v>
      </c>
      <c r="J768" s="1" t="s">
        <v>24</v>
      </c>
      <c r="K768">
        <v>2023</v>
      </c>
      <c r="L768" t="s">
        <v>18</v>
      </c>
      <c r="M768" t="s">
        <v>25</v>
      </c>
      <c r="N768">
        <v>11</v>
      </c>
    </row>
    <row r="769" spans="1:14" x14ac:dyDescent="0.25">
      <c r="A769">
        <v>768</v>
      </c>
      <c r="B769" s="1" t="s">
        <v>20</v>
      </c>
      <c r="C769">
        <v>13</v>
      </c>
      <c r="D769" s="1" t="s">
        <v>45</v>
      </c>
      <c r="E769" s="1" t="s">
        <v>27</v>
      </c>
      <c r="F769" s="1" t="s">
        <v>28</v>
      </c>
      <c r="G769" s="2">
        <v>45176</v>
      </c>
      <c r="H769">
        <v>13</v>
      </c>
      <c r="I769">
        <v>32254</v>
      </c>
      <c r="J769" s="1" t="s">
        <v>24</v>
      </c>
      <c r="K769">
        <v>2023</v>
      </c>
      <c r="L769" t="s">
        <v>44</v>
      </c>
      <c r="M769" t="s">
        <v>25</v>
      </c>
      <c r="N769">
        <v>9</v>
      </c>
    </row>
    <row r="770" spans="1:14" x14ac:dyDescent="0.25">
      <c r="A770">
        <v>769</v>
      </c>
      <c r="B770" s="1" t="s">
        <v>20</v>
      </c>
      <c r="C770">
        <v>18</v>
      </c>
      <c r="D770" s="1" t="s">
        <v>37</v>
      </c>
      <c r="E770" s="1" t="s">
        <v>31</v>
      </c>
      <c r="F770" s="1" t="s">
        <v>28</v>
      </c>
      <c r="G770" s="2">
        <v>45288</v>
      </c>
      <c r="H770">
        <v>5</v>
      </c>
      <c r="I770">
        <v>17540</v>
      </c>
      <c r="J770" s="1" t="s">
        <v>24</v>
      </c>
      <c r="K770">
        <v>2023</v>
      </c>
      <c r="L770" t="s">
        <v>26</v>
      </c>
      <c r="M770" t="s">
        <v>29</v>
      </c>
      <c r="N770">
        <v>12</v>
      </c>
    </row>
    <row r="771" spans="1:14" x14ac:dyDescent="0.25">
      <c r="A771">
        <v>770</v>
      </c>
      <c r="B771" s="1" t="s">
        <v>13</v>
      </c>
      <c r="C771">
        <v>32</v>
      </c>
      <c r="D771" s="1" t="s">
        <v>30</v>
      </c>
      <c r="E771" s="1" t="s">
        <v>27</v>
      </c>
      <c r="F771" s="1" t="s">
        <v>32</v>
      </c>
      <c r="G771" s="2">
        <v>45255</v>
      </c>
      <c r="H771">
        <v>14</v>
      </c>
      <c r="I771">
        <v>8719</v>
      </c>
      <c r="J771" s="1" t="s">
        <v>17</v>
      </c>
      <c r="K771">
        <v>2023</v>
      </c>
      <c r="L771" t="s">
        <v>18</v>
      </c>
      <c r="M771" t="s">
        <v>29</v>
      </c>
      <c r="N771">
        <v>11</v>
      </c>
    </row>
    <row r="772" spans="1:14" x14ac:dyDescent="0.25">
      <c r="A772">
        <v>771</v>
      </c>
      <c r="B772" s="1" t="s">
        <v>13</v>
      </c>
      <c r="C772">
        <v>39</v>
      </c>
      <c r="D772" s="1" t="s">
        <v>21</v>
      </c>
      <c r="E772" s="1" t="s">
        <v>22</v>
      </c>
      <c r="F772" s="1" t="s">
        <v>32</v>
      </c>
      <c r="G772" s="2">
        <v>45251</v>
      </c>
      <c r="H772">
        <v>4</v>
      </c>
      <c r="I772">
        <v>43203</v>
      </c>
      <c r="J772" s="1" t="s">
        <v>17</v>
      </c>
      <c r="K772">
        <v>2023</v>
      </c>
      <c r="L772" t="s">
        <v>18</v>
      </c>
      <c r="M772" t="s">
        <v>29</v>
      </c>
      <c r="N772">
        <v>11</v>
      </c>
    </row>
    <row r="773" spans="1:14" x14ac:dyDescent="0.25">
      <c r="A773">
        <v>772</v>
      </c>
      <c r="B773" s="1" t="s">
        <v>13</v>
      </c>
      <c r="C773">
        <v>46</v>
      </c>
      <c r="D773" s="1" t="s">
        <v>30</v>
      </c>
      <c r="E773" s="1" t="s">
        <v>31</v>
      </c>
      <c r="F773" s="1" t="s">
        <v>16</v>
      </c>
      <c r="G773" s="2">
        <v>45161</v>
      </c>
      <c r="H773">
        <v>9</v>
      </c>
      <c r="I773">
        <v>27081</v>
      </c>
      <c r="J773" s="1" t="s">
        <v>24</v>
      </c>
      <c r="K773">
        <v>2023</v>
      </c>
      <c r="L773" t="s">
        <v>47</v>
      </c>
      <c r="M773" t="s">
        <v>38</v>
      </c>
      <c r="N773">
        <v>8</v>
      </c>
    </row>
    <row r="774" spans="1:14" x14ac:dyDescent="0.25">
      <c r="A774">
        <v>773</v>
      </c>
      <c r="B774" s="1" t="s">
        <v>13</v>
      </c>
      <c r="C774">
        <v>29</v>
      </c>
      <c r="D774" s="1" t="s">
        <v>21</v>
      </c>
      <c r="E774" s="1" t="s">
        <v>27</v>
      </c>
      <c r="F774" s="1" t="s">
        <v>28</v>
      </c>
      <c r="G774" s="2">
        <v>45009</v>
      </c>
      <c r="H774">
        <v>9</v>
      </c>
      <c r="I774">
        <v>13350</v>
      </c>
      <c r="J774" s="1" t="s">
        <v>24</v>
      </c>
      <c r="K774">
        <v>2023</v>
      </c>
      <c r="L774" t="s">
        <v>43</v>
      </c>
      <c r="M774" t="s">
        <v>29</v>
      </c>
      <c r="N774">
        <v>3</v>
      </c>
    </row>
    <row r="775" spans="1:14" x14ac:dyDescent="0.25">
      <c r="A775">
        <v>774</v>
      </c>
      <c r="B775" s="1" t="s">
        <v>20</v>
      </c>
      <c r="C775">
        <v>62</v>
      </c>
      <c r="D775" s="1" t="s">
        <v>37</v>
      </c>
      <c r="E775" s="1" t="s">
        <v>15</v>
      </c>
      <c r="F775" s="1" t="s">
        <v>23</v>
      </c>
      <c r="G775" s="2">
        <v>44963</v>
      </c>
      <c r="H775">
        <v>14</v>
      </c>
      <c r="I775">
        <v>38358</v>
      </c>
      <c r="J775" s="1" t="s">
        <v>24</v>
      </c>
      <c r="K775">
        <v>2023</v>
      </c>
      <c r="L775" t="s">
        <v>46</v>
      </c>
      <c r="M775" t="s">
        <v>19</v>
      </c>
      <c r="N775">
        <v>2</v>
      </c>
    </row>
    <row r="776" spans="1:14" x14ac:dyDescent="0.25">
      <c r="A776">
        <v>775</v>
      </c>
      <c r="B776" s="1" t="s">
        <v>20</v>
      </c>
      <c r="C776">
        <v>62</v>
      </c>
      <c r="D776" s="1" t="s">
        <v>30</v>
      </c>
      <c r="E776" s="1" t="s">
        <v>31</v>
      </c>
      <c r="F776" s="1" t="s">
        <v>32</v>
      </c>
      <c r="G776" s="2">
        <v>45222</v>
      </c>
      <c r="H776">
        <v>5</v>
      </c>
      <c r="I776">
        <v>34021</v>
      </c>
      <c r="J776" s="1" t="s">
        <v>24</v>
      </c>
      <c r="K776">
        <v>2023</v>
      </c>
      <c r="L776" t="s">
        <v>41</v>
      </c>
      <c r="M776" t="s">
        <v>19</v>
      </c>
      <c r="N776">
        <v>10</v>
      </c>
    </row>
    <row r="777" spans="1:14" x14ac:dyDescent="0.25">
      <c r="A777">
        <v>776</v>
      </c>
      <c r="B777" s="1" t="s">
        <v>13</v>
      </c>
      <c r="C777">
        <v>57</v>
      </c>
      <c r="D777" s="1" t="s">
        <v>34</v>
      </c>
      <c r="E777" s="1" t="s">
        <v>15</v>
      </c>
      <c r="F777" s="1" t="s">
        <v>23</v>
      </c>
      <c r="G777" s="2">
        <v>45247</v>
      </c>
      <c r="H777">
        <v>10</v>
      </c>
      <c r="I777">
        <v>44832</v>
      </c>
      <c r="J777" s="1" t="s">
        <v>24</v>
      </c>
      <c r="K777">
        <v>2023</v>
      </c>
      <c r="L777" t="s">
        <v>18</v>
      </c>
      <c r="M777" t="s">
        <v>38</v>
      </c>
      <c r="N777">
        <v>11</v>
      </c>
    </row>
    <row r="778" spans="1:14" x14ac:dyDescent="0.25">
      <c r="A778">
        <v>777</v>
      </c>
      <c r="B778" s="1" t="s">
        <v>13</v>
      </c>
      <c r="C778">
        <v>16</v>
      </c>
      <c r="D778" s="1" t="s">
        <v>14</v>
      </c>
      <c r="E778" s="1" t="s">
        <v>35</v>
      </c>
      <c r="F778" s="1" t="s">
        <v>23</v>
      </c>
      <c r="G778" s="2">
        <v>44986</v>
      </c>
      <c r="H778">
        <v>4</v>
      </c>
      <c r="I778">
        <v>30369</v>
      </c>
      <c r="J778" s="1" t="s">
        <v>24</v>
      </c>
      <c r="K778">
        <v>2023</v>
      </c>
      <c r="L778" t="s">
        <v>43</v>
      </c>
      <c r="M778" t="s">
        <v>25</v>
      </c>
      <c r="N778">
        <v>3</v>
      </c>
    </row>
    <row r="779" spans="1:14" x14ac:dyDescent="0.25">
      <c r="A779">
        <v>778</v>
      </c>
      <c r="B779" s="1" t="s">
        <v>20</v>
      </c>
      <c r="C779">
        <v>56</v>
      </c>
      <c r="D779" s="1" t="s">
        <v>14</v>
      </c>
      <c r="E779" s="1" t="s">
        <v>31</v>
      </c>
      <c r="F779" s="1" t="s">
        <v>32</v>
      </c>
      <c r="G779" s="2">
        <v>45005</v>
      </c>
      <c r="H779">
        <v>7</v>
      </c>
      <c r="I779">
        <v>33728</v>
      </c>
      <c r="J779" s="1" t="s">
        <v>17</v>
      </c>
      <c r="K779">
        <v>2023</v>
      </c>
      <c r="L779" t="s">
        <v>43</v>
      </c>
      <c r="M779" t="s">
        <v>38</v>
      </c>
      <c r="N779">
        <v>3</v>
      </c>
    </row>
    <row r="780" spans="1:14" x14ac:dyDescent="0.25">
      <c r="A780">
        <v>779</v>
      </c>
      <c r="B780" s="1" t="s">
        <v>20</v>
      </c>
      <c r="C780">
        <v>10</v>
      </c>
      <c r="D780" s="1" t="s">
        <v>21</v>
      </c>
      <c r="E780" s="1" t="s">
        <v>15</v>
      </c>
      <c r="F780" s="1" t="s">
        <v>32</v>
      </c>
      <c r="G780" s="2">
        <v>45087</v>
      </c>
      <c r="H780">
        <v>6</v>
      </c>
      <c r="I780">
        <v>19576</v>
      </c>
      <c r="J780" s="1" t="s">
        <v>17</v>
      </c>
      <c r="K780">
        <v>2023</v>
      </c>
      <c r="L780" t="s">
        <v>40</v>
      </c>
      <c r="M780" t="s">
        <v>25</v>
      </c>
      <c r="N780">
        <v>6</v>
      </c>
    </row>
    <row r="781" spans="1:14" x14ac:dyDescent="0.25">
      <c r="A781">
        <v>780</v>
      </c>
      <c r="B781" s="1" t="s">
        <v>13</v>
      </c>
      <c r="C781">
        <v>30</v>
      </c>
      <c r="D781" s="1" t="s">
        <v>34</v>
      </c>
      <c r="E781" s="1" t="s">
        <v>22</v>
      </c>
      <c r="F781" s="1" t="s">
        <v>32</v>
      </c>
      <c r="G781" s="2">
        <v>44948</v>
      </c>
      <c r="H781">
        <v>4</v>
      </c>
      <c r="I781">
        <v>31001</v>
      </c>
      <c r="J781" s="1" t="s">
        <v>24</v>
      </c>
      <c r="K781">
        <v>2023</v>
      </c>
      <c r="L781" t="s">
        <v>48</v>
      </c>
      <c r="M781" t="s">
        <v>29</v>
      </c>
      <c r="N781">
        <v>1</v>
      </c>
    </row>
    <row r="782" spans="1:14" x14ac:dyDescent="0.25">
      <c r="A782">
        <v>781</v>
      </c>
      <c r="B782" s="1" t="s">
        <v>13</v>
      </c>
      <c r="C782">
        <v>25</v>
      </c>
      <c r="D782" s="1" t="s">
        <v>30</v>
      </c>
      <c r="E782" s="1" t="s">
        <v>22</v>
      </c>
      <c r="F782" s="1" t="s">
        <v>32</v>
      </c>
      <c r="G782" s="2">
        <v>45008</v>
      </c>
      <c r="H782">
        <v>13</v>
      </c>
      <c r="I782">
        <v>19848</v>
      </c>
      <c r="J782" s="1" t="s">
        <v>24</v>
      </c>
      <c r="K782">
        <v>2023</v>
      </c>
      <c r="L782" t="s">
        <v>43</v>
      </c>
      <c r="M782" t="s">
        <v>29</v>
      </c>
      <c r="N782">
        <v>3</v>
      </c>
    </row>
    <row r="783" spans="1:14" x14ac:dyDescent="0.25">
      <c r="A783">
        <v>782</v>
      </c>
      <c r="B783" s="1" t="s">
        <v>13</v>
      </c>
      <c r="C783">
        <v>84</v>
      </c>
      <c r="D783" s="1" t="s">
        <v>34</v>
      </c>
      <c r="E783" s="1" t="s">
        <v>35</v>
      </c>
      <c r="F783" s="1" t="s">
        <v>28</v>
      </c>
      <c r="G783" s="2">
        <v>44992</v>
      </c>
      <c r="H783">
        <v>13</v>
      </c>
      <c r="I783">
        <v>2390</v>
      </c>
      <c r="J783" s="1" t="s">
        <v>24</v>
      </c>
      <c r="K783">
        <v>2023</v>
      </c>
      <c r="L783" t="s">
        <v>43</v>
      </c>
      <c r="M783" t="s">
        <v>19</v>
      </c>
      <c r="N783">
        <v>3</v>
      </c>
    </row>
    <row r="784" spans="1:14" x14ac:dyDescent="0.25">
      <c r="A784">
        <v>783</v>
      </c>
      <c r="B784" s="1" t="s">
        <v>20</v>
      </c>
      <c r="C784">
        <v>5</v>
      </c>
      <c r="D784" s="1" t="s">
        <v>34</v>
      </c>
      <c r="E784" s="1" t="s">
        <v>31</v>
      </c>
      <c r="F784" s="1" t="s">
        <v>28</v>
      </c>
      <c r="G784" s="2">
        <v>45044</v>
      </c>
      <c r="H784">
        <v>10</v>
      </c>
      <c r="I784">
        <v>23999</v>
      </c>
      <c r="J784" s="1" t="s">
        <v>24</v>
      </c>
      <c r="K784">
        <v>2023</v>
      </c>
      <c r="L784" t="s">
        <v>33</v>
      </c>
      <c r="M784" t="s">
        <v>25</v>
      </c>
      <c r="N784">
        <v>4</v>
      </c>
    </row>
    <row r="785" spans="1:14" x14ac:dyDescent="0.25">
      <c r="A785">
        <v>784</v>
      </c>
      <c r="B785" s="1" t="s">
        <v>20</v>
      </c>
      <c r="C785">
        <v>65</v>
      </c>
      <c r="D785" s="1" t="s">
        <v>30</v>
      </c>
      <c r="E785" s="1" t="s">
        <v>31</v>
      </c>
      <c r="F785" s="1" t="s">
        <v>28</v>
      </c>
      <c r="G785" s="2">
        <v>45191</v>
      </c>
      <c r="H785">
        <v>2</v>
      </c>
      <c r="I785">
        <v>47436</v>
      </c>
      <c r="J785" s="1" t="s">
        <v>24</v>
      </c>
      <c r="K785">
        <v>2023</v>
      </c>
      <c r="L785" t="s">
        <v>44</v>
      </c>
      <c r="M785" t="s">
        <v>19</v>
      </c>
      <c r="N785">
        <v>9</v>
      </c>
    </row>
    <row r="786" spans="1:14" x14ac:dyDescent="0.25">
      <c r="A786">
        <v>785</v>
      </c>
      <c r="B786" s="1" t="s">
        <v>20</v>
      </c>
      <c r="C786">
        <v>49</v>
      </c>
      <c r="D786" s="1" t="s">
        <v>37</v>
      </c>
      <c r="E786" s="1" t="s">
        <v>31</v>
      </c>
      <c r="F786" s="1" t="s">
        <v>28</v>
      </c>
      <c r="G786" s="2">
        <v>45064</v>
      </c>
      <c r="H786">
        <v>1</v>
      </c>
      <c r="I786">
        <v>13569</v>
      </c>
      <c r="J786" s="1" t="s">
        <v>24</v>
      </c>
      <c r="K786">
        <v>2023</v>
      </c>
      <c r="L786" t="s">
        <v>42</v>
      </c>
      <c r="M786" t="s">
        <v>38</v>
      </c>
      <c r="N786">
        <v>5</v>
      </c>
    </row>
    <row r="787" spans="1:14" x14ac:dyDescent="0.25">
      <c r="A787">
        <v>786</v>
      </c>
      <c r="B787" s="1" t="s">
        <v>13</v>
      </c>
      <c r="C787">
        <v>3</v>
      </c>
      <c r="D787" s="1" t="s">
        <v>34</v>
      </c>
      <c r="E787" s="1" t="s">
        <v>35</v>
      </c>
      <c r="F787" s="1" t="s">
        <v>16</v>
      </c>
      <c r="G787" s="2">
        <v>45134</v>
      </c>
      <c r="H787">
        <v>4</v>
      </c>
      <c r="I787">
        <v>15029</v>
      </c>
      <c r="J787" s="1" t="s">
        <v>39</v>
      </c>
      <c r="K787">
        <v>2023</v>
      </c>
      <c r="L787" t="s">
        <v>36</v>
      </c>
      <c r="M787" t="s">
        <v>25</v>
      </c>
      <c r="N787">
        <v>7</v>
      </c>
    </row>
    <row r="788" spans="1:14" x14ac:dyDescent="0.25">
      <c r="A788">
        <v>787</v>
      </c>
      <c r="B788" s="1" t="s">
        <v>13</v>
      </c>
      <c r="C788">
        <v>45</v>
      </c>
      <c r="D788" s="1" t="s">
        <v>34</v>
      </c>
      <c r="E788" s="1" t="s">
        <v>31</v>
      </c>
      <c r="F788" s="1" t="s">
        <v>28</v>
      </c>
      <c r="G788" s="2">
        <v>45016</v>
      </c>
      <c r="H788">
        <v>4</v>
      </c>
      <c r="I788">
        <v>24490</v>
      </c>
      <c r="J788" s="1" t="s">
        <v>39</v>
      </c>
      <c r="K788">
        <v>2023</v>
      </c>
      <c r="L788" t="s">
        <v>43</v>
      </c>
      <c r="M788" t="s">
        <v>38</v>
      </c>
      <c r="N788">
        <v>3</v>
      </c>
    </row>
    <row r="789" spans="1:14" x14ac:dyDescent="0.25">
      <c r="A789">
        <v>788</v>
      </c>
      <c r="B789" s="1" t="s">
        <v>20</v>
      </c>
      <c r="C789">
        <v>14</v>
      </c>
      <c r="D789" s="1" t="s">
        <v>37</v>
      </c>
      <c r="E789" s="1" t="s">
        <v>22</v>
      </c>
      <c r="F789" s="1" t="s">
        <v>32</v>
      </c>
      <c r="G789" s="2">
        <v>44991</v>
      </c>
      <c r="H789">
        <v>13</v>
      </c>
      <c r="I789">
        <v>47875</v>
      </c>
      <c r="J789" s="1" t="s">
        <v>24</v>
      </c>
      <c r="K789">
        <v>2023</v>
      </c>
      <c r="L789" t="s">
        <v>43</v>
      </c>
      <c r="M789" t="s">
        <v>25</v>
      </c>
      <c r="N789">
        <v>3</v>
      </c>
    </row>
    <row r="790" spans="1:14" x14ac:dyDescent="0.25">
      <c r="A790">
        <v>789</v>
      </c>
      <c r="B790" s="1" t="s">
        <v>20</v>
      </c>
      <c r="C790">
        <v>30</v>
      </c>
      <c r="D790" s="1" t="s">
        <v>34</v>
      </c>
      <c r="E790" s="1" t="s">
        <v>15</v>
      </c>
      <c r="F790" s="1" t="s">
        <v>23</v>
      </c>
      <c r="G790" s="2">
        <v>45284</v>
      </c>
      <c r="H790">
        <v>1</v>
      </c>
      <c r="I790">
        <v>37328</v>
      </c>
      <c r="J790" s="1" t="s">
        <v>24</v>
      </c>
      <c r="K790">
        <v>2023</v>
      </c>
      <c r="L790" t="s">
        <v>26</v>
      </c>
      <c r="M790" t="s">
        <v>29</v>
      </c>
      <c r="N790">
        <v>12</v>
      </c>
    </row>
    <row r="791" spans="1:14" x14ac:dyDescent="0.25">
      <c r="A791">
        <v>790</v>
      </c>
      <c r="B791" s="1" t="s">
        <v>13</v>
      </c>
      <c r="C791">
        <v>68</v>
      </c>
      <c r="D791" s="1" t="s">
        <v>34</v>
      </c>
      <c r="E791" s="1" t="s">
        <v>22</v>
      </c>
      <c r="F791" s="1" t="s">
        <v>28</v>
      </c>
      <c r="G791" s="2">
        <v>45118</v>
      </c>
      <c r="H791">
        <v>6</v>
      </c>
      <c r="I791">
        <v>7867</v>
      </c>
      <c r="J791" s="1" t="s">
        <v>24</v>
      </c>
      <c r="K791">
        <v>2023</v>
      </c>
      <c r="L791" t="s">
        <v>36</v>
      </c>
      <c r="M791" t="s">
        <v>19</v>
      </c>
      <c r="N791">
        <v>7</v>
      </c>
    </row>
    <row r="792" spans="1:14" x14ac:dyDescent="0.25">
      <c r="A792">
        <v>791</v>
      </c>
      <c r="B792" s="1" t="s">
        <v>20</v>
      </c>
      <c r="C792">
        <v>18</v>
      </c>
      <c r="D792" s="1" t="s">
        <v>34</v>
      </c>
      <c r="E792" s="1" t="s">
        <v>22</v>
      </c>
      <c r="F792" s="1" t="s">
        <v>16</v>
      </c>
      <c r="G792" s="2">
        <v>45167</v>
      </c>
      <c r="H792">
        <v>4</v>
      </c>
      <c r="I792">
        <v>17284</v>
      </c>
      <c r="J792" s="1" t="s">
        <v>24</v>
      </c>
      <c r="K792">
        <v>2023</v>
      </c>
      <c r="L792" t="s">
        <v>47</v>
      </c>
      <c r="M792" t="s">
        <v>29</v>
      </c>
      <c r="N792">
        <v>8</v>
      </c>
    </row>
    <row r="793" spans="1:14" x14ac:dyDescent="0.25">
      <c r="A793">
        <v>792</v>
      </c>
      <c r="B793" s="1" t="s">
        <v>20</v>
      </c>
      <c r="C793">
        <v>62</v>
      </c>
      <c r="D793" s="1" t="s">
        <v>14</v>
      </c>
      <c r="E793" s="1" t="s">
        <v>15</v>
      </c>
      <c r="F793" s="1" t="s">
        <v>32</v>
      </c>
      <c r="G793" s="2">
        <v>45134</v>
      </c>
      <c r="H793">
        <v>1</v>
      </c>
      <c r="I793">
        <v>35979</v>
      </c>
      <c r="J793" s="1" t="s">
        <v>24</v>
      </c>
      <c r="K793">
        <v>2023</v>
      </c>
      <c r="L793" t="s">
        <v>36</v>
      </c>
      <c r="M793" t="s">
        <v>19</v>
      </c>
      <c r="N793">
        <v>7</v>
      </c>
    </row>
    <row r="794" spans="1:14" x14ac:dyDescent="0.25">
      <c r="A794">
        <v>793</v>
      </c>
      <c r="B794" s="1" t="s">
        <v>13</v>
      </c>
      <c r="C794">
        <v>37</v>
      </c>
      <c r="D794" s="1" t="s">
        <v>45</v>
      </c>
      <c r="E794" s="1" t="s">
        <v>22</v>
      </c>
      <c r="F794" s="1" t="s">
        <v>23</v>
      </c>
      <c r="G794" s="2">
        <v>45116</v>
      </c>
      <c r="H794">
        <v>1</v>
      </c>
      <c r="I794">
        <v>11121</v>
      </c>
      <c r="J794" s="1" t="s">
        <v>24</v>
      </c>
      <c r="K794">
        <v>2023</v>
      </c>
      <c r="L794" t="s">
        <v>36</v>
      </c>
      <c r="M794" t="s">
        <v>29</v>
      </c>
      <c r="N794">
        <v>7</v>
      </c>
    </row>
    <row r="795" spans="1:14" x14ac:dyDescent="0.25">
      <c r="A795">
        <v>794</v>
      </c>
      <c r="B795" s="1" t="s">
        <v>20</v>
      </c>
      <c r="C795">
        <v>25</v>
      </c>
      <c r="D795" s="1" t="s">
        <v>37</v>
      </c>
      <c r="E795" s="1" t="s">
        <v>35</v>
      </c>
      <c r="F795" s="1" t="s">
        <v>23</v>
      </c>
      <c r="G795" s="2">
        <v>45239</v>
      </c>
      <c r="H795">
        <v>13</v>
      </c>
      <c r="I795">
        <v>3539</v>
      </c>
      <c r="J795" s="1" t="s">
        <v>24</v>
      </c>
      <c r="K795">
        <v>2023</v>
      </c>
      <c r="L795" t="s">
        <v>18</v>
      </c>
      <c r="M795" t="s">
        <v>29</v>
      </c>
      <c r="N795">
        <v>11</v>
      </c>
    </row>
    <row r="796" spans="1:14" x14ac:dyDescent="0.25">
      <c r="A796">
        <v>795</v>
      </c>
      <c r="B796" s="1" t="s">
        <v>13</v>
      </c>
      <c r="C796">
        <v>48</v>
      </c>
      <c r="D796" s="1" t="s">
        <v>34</v>
      </c>
      <c r="E796" s="1" t="s">
        <v>15</v>
      </c>
      <c r="F796" s="1" t="s">
        <v>28</v>
      </c>
      <c r="G796" s="2">
        <v>45140</v>
      </c>
      <c r="H796">
        <v>1</v>
      </c>
      <c r="I796">
        <v>27488</v>
      </c>
      <c r="J796" s="1" t="s">
        <v>24</v>
      </c>
      <c r="K796">
        <v>2023</v>
      </c>
      <c r="L796" t="s">
        <v>47</v>
      </c>
      <c r="M796" t="s">
        <v>38</v>
      </c>
      <c r="N796">
        <v>8</v>
      </c>
    </row>
    <row r="797" spans="1:14" x14ac:dyDescent="0.25">
      <c r="A797">
        <v>796</v>
      </c>
      <c r="B797" s="1" t="s">
        <v>13</v>
      </c>
      <c r="C797">
        <v>65</v>
      </c>
      <c r="D797" s="1" t="s">
        <v>14</v>
      </c>
      <c r="E797" s="1" t="s">
        <v>22</v>
      </c>
      <c r="F797" s="1" t="s">
        <v>23</v>
      </c>
      <c r="G797" s="2">
        <v>45085</v>
      </c>
      <c r="H797">
        <v>8</v>
      </c>
      <c r="I797">
        <v>19027</v>
      </c>
      <c r="J797" s="1" t="s">
        <v>17</v>
      </c>
      <c r="K797">
        <v>2023</v>
      </c>
      <c r="L797" t="s">
        <v>40</v>
      </c>
      <c r="M797" t="s">
        <v>19</v>
      </c>
      <c r="N797">
        <v>6</v>
      </c>
    </row>
    <row r="798" spans="1:14" x14ac:dyDescent="0.25">
      <c r="A798">
        <v>797</v>
      </c>
      <c r="B798" s="1" t="s">
        <v>13</v>
      </c>
      <c r="C798">
        <v>53</v>
      </c>
      <c r="D798" s="1" t="s">
        <v>37</v>
      </c>
      <c r="E798" s="1" t="s">
        <v>27</v>
      </c>
      <c r="F798" s="1" t="s">
        <v>28</v>
      </c>
      <c r="G798" s="2">
        <v>45133</v>
      </c>
      <c r="H798">
        <v>10</v>
      </c>
      <c r="I798">
        <v>10693</v>
      </c>
      <c r="J798" s="1" t="s">
        <v>24</v>
      </c>
      <c r="K798">
        <v>2023</v>
      </c>
      <c r="L798" t="s">
        <v>36</v>
      </c>
      <c r="M798" t="s">
        <v>38</v>
      </c>
      <c r="N798">
        <v>7</v>
      </c>
    </row>
    <row r="799" spans="1:14" x14ac:dyDescent="0.25">
      <c r="A799">
        <v>798</v>
      </c>
      <c r="B799" s="1" t="s">
        <v>13</v>
      </c>
      <c r="C799">
        <v>79</v>
      </c>
      <c r="D799" s="1" t="s">
        <v>21</v>
      </c>
      <c r="E799" s="1" t="s">
        <v>22</v>
      </c>
      <c r="F799" s="1" t="s">
        <v>28</v>
      </c>
      <c r="G799" s="2">
        <v>45170</v>
      </c>
      <c r="H799">
        <v>8</v>
      </c>
      <c r="I799">
        <v>10921</v>
      </c>
      <c r="J799" s="1" t="s">
        <v>24</v>
      </c>
      <c r="K799">
        <v>2023</v>
      </c>
      <c r="L799" t="s">
        <v>44</v>
      </c>
      <c r="M799" t="s">
        <v>19</v>
      </c>
      <c r="N799">
        <v>9</v>
      </c>
    </row>
    <row r="800" spans="1:14" x14ac:dyDescent="0.25">
      <c r="A800">
        <v>799</v>
      </c>
      <c r="B800" s="1" t="s">
        <v>13</v>
      </c>
      <c r="C800">
        <v>73</v>
      </c>
      <c r="D800" s="1" t="s">
        <v>21</v>
      </c>
      <c r="E800" s="1" t="s">
        <v>35</v>
      </c>
      <c r="F800" s="1" t="s">
        <v>32</v>
      </c>
      <c r="G800" s="2">
        <v>45134</v>
      </c>
      <c r="H800">
        <v>2</v>
      </c>
      <c r="I800">
        <v>12310</v>
      </c>
      <c r="J800" s="1" t="s">
        <v>24</v>
      </c>
      <c r="K800">
        <v>2023</v>
      </c>
      <c r="L800" t="s">
        <v>36</v>
      </c>
      <c r="M800" t="s">
        <v>19</v>
      </c>
      <c r="N800">
        <v>7</v>
      </c>
    </row>
    <row r="801" spans="1:14" x14ac:dyDescent="0.25">
      <c r="A801">
        <v>800</v>
      </c>
      <c r="B801" s="1" t="s">
        <v>13</v>
      </c>
      <c r="C801">
        <v>15</v>
      </c>
      <c r="D801" s="1" t="s">
        <v>34</v>
      </c>
      <c r="E801" s="1" t="s">
        <v>31</v>
      </c>
      <c r="F801" s="1" t="s">
        <v>32</v>
      </c>
      <c r="G801" s="2">
        <v>45223</v>
      </c>
      <c r="H801">
        <v>11</v>
      </c>
      <c r="I801">
        <v>47512</v>
      </c>
      <c r="J801" s="1" t="s">
        <v>24</v>
      </c>
      <c r="K801">
        <v>2023</v>
      </c>
      <c r="L801" t="s">
        <v>41</v>
      </c>
      <c r="M801" t="s">
        <v>25</v>
      </c>
      <c r="N801">
        <v>10</v>
      </c>
    </row>
    <row r="802" spans="1:14" x14ac:dyDescent="0.25">
      <c r="A802">
        <v>801</v>
      </c>
      <c r="B802" s="1" t="s">
        <v>13</v>
      </c>
      <c r="C802">
        <v>49</v>
      </c>
      <c r="D802" s="1" t="s">
        <v>14</v>
      </c>
      <c r="E802" s="1" t="s">
        <v>22</v>
      </c>
      <c r="F802" s="1" t="s">
        <v>16</v>
      </c>
      <c r="G802" s="2">
        <v>45094</v>
      </c>
      <c r="H802">
        <v>13</v>
      </c>
      <c r="I802">
        <v>32908</v>
      </c>
      <c r="J802" s="1" t="s">
        <v>24</v>
      </c>
      <c r="K802">
        <v>2023</v>
      </c>
      <c r="L802" t="s">
        <v>40</v>
      </c>
      <c r="M802" t="s">
        <v>38</v>
      </c>
      <c r="N802">
        <v>6</v>
      </c>
    </row>
    <row r="803" spans="1:14" x14ac:dyDescent="0.25">
      <c r="A803">
        <v>802</v>
      </c>
      <c r="B803" s="1" t="s">
        <v>20</v>
      </c>
      <c r="C803">
        <v>88</v>
      </c>
      <c r="D803" s="1" t="s">
        <v>14</v>
      </c>
      <c r="E803" s="1" t="s">
        <v>31</v>
      </c>
      <c r="F803" s="1" t="s">
        <v>32</v>
      </c>
      <c r="G803" s="2">
        <v>44967</v>
      </c>
      <c r="H803">
        <v>7</v>
      </c>
      <c r="I803">
        <v>6386</v>
      </c>
      <c r="J803" s="1" t="s">
        <v>17</v>
      </c>
      <c r="K803">
        <v>2023</v>
      </c>
      <c r="L803" t="s">
        <v>46</v>
      </c>
      <c r="M803" t="s">
        <v>19</v>
      </c>
      <c r="N803">
        <v>2</v>
      </c>
    </row>
    <row r="804" spans="1:14" x14ac:dyDescent="0.25">
      <c r="A804">
        <v>803</v>
      </c>
      <c r="B804" s="1" t="s">
        <v>13</v>
      </c>
      <c r="C804">
        <v>68</v>
      </c>
      <c r="D804" s="1" t="s">
        <v>37</v>
      </c>
      <c r="E804" s="1" t="s">
        <v>27</v>
      </c>
      <c r="F804" s="1" t="s">
        <v>32</v>
      </c>
      <c r="G804" s="2">
        <v>45004</v>
      </c>
      <c r="H804">
        <v>14</v>
      </c>
      <c r="I804">
        <v>34263</v>
      </c>
      <c r="J804" s="1" t="s">
        <v>39</v>
      </c>
      <c r="K804">
        <v>2023</v>
      </c>
      <c r="L804" t="s">
        <v>43</v>
      </c>
      <c r="M804" t="s">
        <v>19</v>
      </c>
      <c r="N804">
        <v>3</v>
      </c>
    </row>
    <row r="805" spans="1:14" x14ac:dyDescent="0.25">
      <c r="A805">
        <v>804</v>
      </c>
      <c r="B805" s="1" t="s">
        <v>13</v>
      </c>
      <c r="C805">
        <v>12</v>
      </c>
      <c r="D805" s="1" t="s">
        <v>37</v>
      </c>
      <c r="E805" s="1" t="s">
        <v>22</v>
      </c>
      <c r="F805" s="1" t="s">
        <v>28</v>
      </c>
      <c r="G805" s="2">
        <v>45096</v>
      </c>
      <c r="H805">
        <v>8</v>
      </c>
      <c r="I805">
        <v>30412</v>
      </c>
      <c r="J805" s="1" t="s">
        <v>24</v>
      </c>
      <c r="K805">
        <v>2023</v>
      </c>
      <c r="L805" t="s">
        <v>40</v>
      </c>
      <c r="M805" t="s">
        <v>25</v>
      </c>
      <c r="N805">
        <v>6</v>
      </c>
    </row>
    <row r="806" spans="1:14" x14ac:dyDescent="0.25">
      <c r="A806">
        <v>805</v>
      </c>
      <c r="B806" s="1" t="s">
        <v>20</v>
      </c>
      <c r="C806">
        <v>59</v>
      </c>
      <c r="D806" s="1" t="s">
        <v>14</v>
      </c>
      <c r="E806" s="1" t="s">
        <v>15</v>
      </c>
      <c r="F806" s="1" t="s">
        <v>32</v>
      </c>
      <c r="G806" s="2">
        <v>45064</v>
      </c>
      <c r="H806">
        <v>8</v>
      </c>
      <c r="I806">
        <v>19303</v>
      </c>
      <c r="J806" s="1" t="s">
        <v>24</v>
      </c>
      <c r="K806">
        <v>2023</v>
      </c>
      <c r="L806" t="s">
        <v>42</v>
      </c>
      <c r="M806" t="s">
        <v>38</v>
      </c>
      <c r="N806">
        <v>5</v>
      </c>
    </row>
    <row r="807" spans="1:14" x14ac:dyDescent="0.25">
      <c r="A807">
        <v>806</v>
      </c>
      <c r="B807" s="1" t="s">
        <v>20</v>
      </c>
      <c r="C807">
        <v>37</v>
      </c>
      <c r="D807" s="1" t="s">
        <v>37</v>
      </c>
      <c r="E807" s="1" t="s">
        <v>31</v>
      </c>
      <c r="F807" s="1" t="s">
        <v>28</v>
      </c>
      <c r="G807" s="2">
        <v>45156</v>
      </c>
      <c r="H807">
        <v>11</v>
      </c>
      <c r="I807">
        <v>14242</v>
      </c>
      <c r="J807" s="1" t="s">
        <v>24</v>
      </c>
      <c r="K807">
        <v>2023</v>
      </c>
      <c r="L807" t="s">
        <v>47</v>
      </c>
      <c r="M807" t="s">
        <v>29</v>
      </c>
      <c r="N807">
        <v>8</v>
      </c>
    </row>
    <row r="808" spans="1:14" x14ac:dyDescent="0.25">
      <c r="A808">
        <v>807</v>
      </c>
      <c r="B808" s="1" t="s">
        <v>20</v>
      </c>
      <c r="C808">
        <v>61</v>
      </c>
      <c r="D808" s="1" t="s">
        <v>14</v>
      </c>
      <c r="E808" s="1" t="s">
        <v>27</v>
      </c>
      <c r="F808" s="1" t="s">
        <v>28</v>
      </c>
      <c r="G808" s="2">
        <v>45244</v>
      </c>
      <c r="H808">
        <v>10</v>
      </c>
      <c r="I808">
        <v>49025</v>
      </c>
      <c r="J808" s="1" t="s">
        <v>24</v>
      </c>
      <c r="K808">
        <v>2023</v>
      </c>
      <c r="L808" t="s">
        <v>18</v>
      </c>
      <c r="M808" t="s">
        <v>19</v>
      </c>
      <c r="N808">
        <v>11</v>
      </c>
    </row>
    <row r="809" spans="1:14" x14ac:dyDescent="0.25">
      <c r="A809">
        <v>808</v>
      </c>
      <c r="B809" s="1" t="s">
        <v>13</v>
      </c>
      <c r="C809">
        <v>43</v>
      </c>
      <c r="D809" s="1" t="s">
        <v>45</v>
      </c>
      <c r="E809" s="1" t="s">
        <v>15</v>
      </c>
      <c r="F809" s="1" t="s">
        <v>32</v>
      </c>
      <c r="G809" s="2">
        <v>44960</v>
      </c>
      <c r="H809">
        <v>11</v>
      </c>
      <c r="I809">
        <v>10947</v>
      </c>
      <c r="J809" s="1" t="s">
        <v>39</v>
      </c>
      <c r="K809">
        <v>2023</v>
      </c>
      <c r="L809" t="s">
        <v>46</v>
      </c>
      <c r="M809" t="s">
        <v>38</v>
      </c>
      <c r="N809">
        <v>2</v>
      </c>
    </row>
    <row r="810" spans="1:14" x14ac:dyDescent="0.25">
      <c r="A810">
        <v>809</v>
      </c>
      <c r="B810" s="1" t="s">
        <v>20</v>
      </c>
      <c r="C810">
        <v>70</v>
      </c>
      <c r="D810" s="1" t="s">
        <v>14</v>
      </c>
      <c r="E810" s="1" t="s">
        <v>15</v>
      </c>
      <c r="F810" s="1" t="s">
        <v>16</v>
      </c>
      <c r="G810" s="2">
        <v>45150</v>
      </c>
      <c r="H810">
        <v>13</v>
      </c>
      <c r="I810">
        <v>48714</v>
      </c>
      <c r="J810" s="1" t="s">
        <v>24</v>
      </c>
      <c r="K810">
        <v>2023</v>
      </c>
      <c r="L810" t="s">
        <v>47</v>
      </c>
      <c r="M810" t="s">
        <v>19</v>
      </c>
      <c r="N810">
        <v>8</v>
      </c>
    </row>
    <row r="811" spans="1:14" x14ac:dyDescent="0.25">
      <c r="A811">
        <v>810</v>
      </c>
      <c r="B811" s="1" t="s">
        <v>13</v>
      </c>
      <c r="C811">
        <v>39</v>
      </c>
      <c r="D811" s="1" t="s">
        <v>21</v>
      </c>
      <c r="E811" s="1" t="s">
        <v>15</v>
      </c>
      <c r="F811" s="1" t="s">
        <v>16</v>
      </c>
      <c r="G811" s="2">
        <v>45265</v>
      </c>
      <c r="H811">
        <v>7</v>
      </c>
      <c r="I811">
        <v>7930</v>
      </c>
      <c r="J811" s="1" t="s">
        <v>24</v>
      </c>
      <c r="K811">
        <v>2023</v>
      </c>
      <c r="L811" t="s">
        <v>26</v>
      </c>
      <c r="M811" t="s">
        <v>29</v>
      </c>
      <c r="N811">
        <v>12</v>
      </c>
    </row>
    <row r="812" spans="1:14" x14ac:dyDescent="0.25">
      <c r="A812">
        <v>811</v>
      </c>
      <c r="B812" s="1" t="s">
        <v>13</v>
      </c>
      <c r="C812">
        <v>56</v>
      </c>
      <c r="D812" s="1" t="s">
        <v>37</v>
      </c>
      <c r="E812" s="1" t="s">
        <v>15</v>
      </c>
      <c r="F812" s="1" t="s">
        <v>23</v>
      </c>
      <c r="G812" s="2">
        <v>45290</v>
      </c>
      <c r="H812">
        <v>5</v>
      </c>
      <c r="I812">
        <v>40170</v>
      </c>
      <c r="J812" s="1" t="s">
        <v>24</v>
      </c>
      <c r="K812">
        <v>2023</v>
      </c>
      <c r="L812" t="s">
        <v>26</v>
      </c>
      <c r="M812" t="s">
        <v>38</v>
      </c>
      <c r="N812">
        <v>12</v>
      </c>
    </row>
    <row r="813" spans="1:14" x14ac:dyDescent="0.25">
      <c r="A813">
        <v>812</v>
      </c>
      <c r="B813" s="1" t="s">
        <v>13</v>
      </c>
      <c r="C813">
        <v>63</v>
      </c>
      <c r="D813" s="1" t="s">
        <v>14</v>
      </c>
      <c r="E813" s="1" t="s">
        <v>22</v>
      </c>
      <c r="F813" s="1" t="s">
        <v>23</v>
      </c>
      <c r="G813" s="2">
        <v>44974</v>
      </c>
      <c r="H813">
        <v>1</v>
      </c>
      <c r="I813">
        <v>2507</v>
      </c>
      <c r="J813" s="1" t="s">
        <v>24</v>
      </c>
      <c r="K813">
        <v>2023</v>
      </c>
      <c r="L813" t="s">
        <v>46</v>
      </c>
      <c r="M813" t="s">
        <v>19</v>
      </c>
      <c r="N813">
        <v>2</v>
      </c>
    </row>
    <row r="814" spans="1:14" x14ac:dyDescent="0.25">
      <c r="A814">
        <v>813</v>
      </c>
      <c r="B814" s="1" t="s">
        <v>13</v>
      </c>
      <c r="C814">
        <v>46</v>
      </c>
      <c r="D814" s="1" t="s">
        <v>14</v>
      </c>
      <c r="E814" s="1" t="s">
        <v>22</v>
      </c>
      <c r="F814" s="1" t="s">
        <v>32</v>
      </c>
      <c r="G814" s="2">
        <v>45036</v>
      </c>
      <c r="H814">
        <v>12</v>
      </c>
      <c r="I814">
        <v>3436</v>
      </c>
      <c r="J814" s="1" t="s">
        <v>17</v>
      </c>
      <c r="K814">
        <v>2023</v>
      </c>
      <c r="L814" t="s">
        <v>33</v>
      </c>
      <c r="M814" t="s">
        <v>38</v>
      </c>
      <c r="N814">
        <v>4</v>
      </c>
    </row>
    <row r="815" spans="1:14" x14ac:dyDescent="0.25">
      <c r="A815">
        <v>814</v>
      </c>
      <c r="B815" s="1" t="s">
        <v>20</v>
      </c>
      <c r="C815">
        <v>88</v>
      </c>
      <c r="D815" s="1" t="s">
        <v>37</v>
      </c>
      <c r="E815" s="1" t="s">
        <v>22</v>
      </c>
      <c r="F815" s="1" t="s">
        <v>16</v>
      </c>
      <c r="G815" s="2">
        <v>45002</v>
      </c>
      <c r="H815">
        <v>9</v>
      </c>
      <c r="I815">
        <v>29151</v>
      </c>
      <c r="J815" s="1" t="s">
        <v>24</v>
      </c>
      <c r="K815">
        <v>2023</v>
      </c>
      <c r="L815" t="s">
        <v>43</v>
      </c>
      <c r="M815" t="s">
        <v>19</v>
      </c>
      <c r="N815">
        <v>3</v>
      </c>
    </row>
    <row r="816" spans="1:14" x14ac:dyDescent="0.25">
      <c r="A816">
        <v>815</v>
      </c>
      <c r="B816" s="1" t="s">
        <v>20</v>
      </c>
      <c r="C816">
        <v>11</v>
      </c>
      <c r="D816" s="1" t="s">
        <v>45</v>
      </c>
      <c r="E816" s="1" t="s">
        <v>27</v>
      </c>
      <c r="F816" s="1" t="s">
        <v>28</v>
      </c>
      <c r="G816" s="2">
        <v>45038</v>
      </c>
      <c r="H816">
        <v>13</v>
      </c>
      <c r="I816">
        <v>13618</v>
      </c>
      <c r="J816" s="1" t="s">
        <v>39</v>
      </c>
      <c r="K816">
        <v>2023</v>
      </c>
      <c r="L816" t="s">
        <v>33</v>
      </c>
      <c r="M816" t="s">
        <v>25</v>
      </c>
      <c r="N816">
        <v>4</v>
      </c>
    </row>
    <row r="817" spans="1:14" x14ac:dyDescent="0.25">
      <c r="A817">
        <v>816</v>
      </c>
      <c r="B817" s="1" t="s">
        <v>13</v>
      </c>
      <c r="C817">
        <v>62</v>
      </c>
      <c r="D817" s="1" t="s">
        <v>45</v>
      </c>
      <c r="E817" s="1" t="s">
        <v>27</v>
      </c>
      <c r="F817" s="1" t="s">
        <v>23</v>
      </c>
      <c r="G817" s="2">
        <v>45104</v>
      </c>
      <c r="H817">
        <v>7</v>
      </c>
      <c r="I817">
        <v>10750</v>
      </c>
      <c r="J817" s="1" t="s">
        <v>24</v>
      </c>
      <c r="K817">
        <v>2023</v>
      </c>
      <c r="L817" t="s">
        <v>40</v>
      </c>
      <c r="M817" t="s">
        <v>19</v>
      </c>
      <c r="N817">
        <v>6</v>
      </c>
    </row>
    <row r="818" spans="1:14" x14ac:dyDescent="0.25">
      <c r="A818">
        <v>817</v>
      </c>
      <c r="B818" s="1" t="s">
        <v>13</v>
      </c>
      <c r="C818">
        <v>77</v>
      </c>
      <c r="D818" s="1" t="s">
        <v>37</v>
      </c>
      <c r="E818" s="1" t="s">
        <v>27</v>
      </c>
      <c r="F818" s="1" t="s">
        <v>28</v>
      </c>
      <c r="G818" s="2">
        <v>44973</v>
      </c>
      <c r="H818">
        <v>2</v>
      </c>
      <c r="I818">
        <v>18122</v>
      </c>
      <c r="J818" s="1" t="s">
        <v>39</v>
      </c>
      <c r="K818">
        <v>2023</v>
      </c>
      <c r="L818" t="s">
        <v>46</v>
      </c>
      <c r="M818" t="s">
        <v>19</v>
      </c>
      <c r="N818">
        <v>2</v>
      </c>
    </row>
    <row r="819" spans="1:14" x14ac:dyDescent="0.25">
      <c r="A819">
        <v>818</v>
      </c>
      <c r="B819" s="1" t="s">
        <v>13</v>
      </c>
      <c r="C819">
        <v>25</v>
      </c>
      <c r="D819" s="1" t="s">
        <v>30</v>
      </c>
      <c r="E819" s="1" t="s">
        <v>35</v>
      </c>
      <c r="F819" s="1" t="s">
        <v>23</v>
      </c>
      <c r="G819" s="2">
        <v>45051</v>
      </c>
      <c r="H819">
        <v>6</v>
      </c>
      <c r="I819">
        <v>9354</v>
      </c>
      <c r="J819" s="1" t="s">
        <v>24</v>
      </c>
      <c r="K819">
        <v>2023</v>
      </c>
      <c r="L819" t="s">
        <v>42</v>
      </c>
      <c r="M819" t="s">
        <v>29</v>
      </c>
      <c r="N819">
        <v>5</v>
      </c>
    </row>
    <row r="820" spans="1:14" x14ac:dyDescent="0.25">
      <c r="A820">
        <v>819</v>
      </c>
      <c r="B820" s="1" t="s">
        <v>20</v>
      </c>
      <c r="C820">
        <v>71</v>
      </c>
      <c r="D820" s="1" t="s">
        <v>37</v>
      </c>
      <c r="E820" s="1" t="s">
        <v>27</v>
      </c>
      <c r="F820" s="1" t="s">
        <v>32</v>
      </c>
      <c r="G820" s="2">
        <v>44954</v>
      </c>
      <c r="H820">
        <v>2</v>
      </c>
      <c r="I820">
        <v>46062</v>
      </c>
      <c r="J820" s="1" t="s">
        <v>24</v>
      </c>
      <c r="K820">
        <v>2023</v>
      </c>
      <c r="L820" t="s">
        <v>48</v>
      </c>
      <c r="M820" t="s">
        <v>19</v>
      </c>
      <c r="N820">
        <v>1</v>
      </c>
    </row>
    <row r="821" spans="1:14" x14ac:dyDescent="0.25">
      <c r="A821">
        <v>820</v>
      </c>
      <c r="B821" s="1" t="s">
        <v>13</v>
      </c>
      <c r="C821">
        <v>52</v>
      </c>
      <c r="D821" s="1" t="s">
        <v>37</v>
      </c>
      <c r="E821" s="1" t="s">
        <v>22</v>
      </c>
      <c r="F821" s="1" t="s">
        <v>16</v>
      </c>
      <c r="G821" s="2">
        <v>45008</v>
      </c>
      <c r="H821">
        <v>1</v>
      </c>
      <c r="I821">
        <v>32979</v>
      </c>
      <c r="J821" s="1" t="s">
        <v>39</v>
      </c>
      <c r="K821">
        <v>2023</v>
      </c>
      <c r="L821" t="s">
        <v>43</v>
      </c>
      <c r="M821" t="s">
        <v>38</v>
      </c>
      <c r="N821">
        <v>3</v>
      </c>
    </row>
    <row r="822" spans="1:14" x14ac:dyDescent="0.25">
      <c r="A822">
        <v>821</v>
      </c>
      <c r="B822" s="1" t="s">
        <v>13</v>
      </c>
      <c r="C822">
        <v>4</v>
      </c>
      <c r="D822" s="1" t="s">
        <v>45</v>
      </c>
      <c r="E822" s="1" t="s">
        <v>22</v>
      </c>
      <c r="F822" s="1" t="s">
        <v>23</v>
      </c>
      <c r="G822" s="2">
        <v>45157</v>
      </c>
      <c r="H822">
        <v>14</v>
      </c>
      <c r="I822">
        <v>22900</v>
      </c>
      <c r="J822" s="1" t="s">
        <v>24</v>
      </c>
      <c r="K822">
        <v>2023</v>
      </c>
      <c r="L822" t="s">
        <v>47</v>
      </c>
      <c r="M822" t="s">
        <v>25</v>
      </c>
      <c r="N822">
        <v>8</v>
      </c>
    </row>
    <row r="823" spans="1:14" x14ac:dyDescent="0.25">
      <c r="A823">
        <v>822</v>
      </c>
      <c r="B823" s="1" t="s">
        <v>20</v>
      </c>
      <c r="C823">
        <v>59</v>
      </c>
      <c r="D823" s="1" t="s">
        <v>45</v>
      </c>
      <c r="E823" s="1" t="s">
        <v>35</v>
      </c>
      <c r="F823" s="1" t="s">
        <v>16</v>
      </c>
      <c r="G823" s="2">
        <v>44928</v>
      </c>
      <c r="H823">
        <v>7</v>
      </c>
      <c r="I823">
        <v>15840</v>
      </c>
      <c r="J823" s="1" t="s">
        <v>24</v>
      </c>
      <c r="K823">
        <v>2023</v>
      </c>
      <c r="L823" t="s">
        <v>48</v>
      </c>
      <c r="M823" t="s">
        <v>38</v>
      </c>
      <c r="N823">
        <v>1</v>
      </c>
    </row>
    <row r="824" spans="1:14" x14ac:dyDescent="0.25">
      <c r="A824">
        <v>823</v>
      </c>
      <c r="B824" s="1" t="s">
        <v>20</v>
      </c>
      <c r="C824">
        <v>72</v>
      </c>
      <c r="D824" s="1" t="s">
        <v>37</v>
      </c>
      <c r="E824" s="1" t="s">
        <v>35</v>
      </c>
      <c r="F824" s="1" t="s">
        <v>28</v>
      </c>
      <c r="G824" s="2">
        <v>45290</v>
      </c>
      <c r="H824">
        <v>13</v>
      </c>
      <c r="I824">
        <v>39167</v>
      </c>
      <c r="J824" s="1" t="s">
        <v>24</v>
      </c>
      <c r="K824">
        <v>2023</v>
      </c>
      <c r="L824" t="s">
        <v>26</v>
      </c>
      <c r="M824" t="s">
        <v>19</v>
      </c>
      <c r="N824">
        <v>12</v>
      </c>
    </row>
    <row r="825" spans="1:14" x14ac:dyDescent="0.25">
      <c r="A825">
        <v>824</v>
      </c>
      <c r="B825" s="1" t="s">
        <v>13</v>
      </c>
      <c r="C825">
        <v>20</v>
      </c>
      <c r="D825" s="1" t="s">
        <v>37</v>
      </c>
      <c r="E825" s="1" t="s">
        <v>27</v>
      </c>
      <c r="F825" s="1" t="s">
        <v>32</v>
      </c>
      <c r="G825" s="2">
        <v>45005</v>
      </c>
      <c r="H825">
        <v>2</v>
      </c>
      <c r="I825">
        <v>7037</v>
      </c>
      <c r="J825" s="1" t="s">
        <v>39</v>
      </c>
      <c r="K825">
        <v>2023</v>
      </c>
      <c r="L825" t="s">
        <v>43</v>
      </c>
      <c r="M825" t="s">
        <v>29</v>
      </c>
      <c r="N825">
        <v>3</v>
      </c>
    </row>
    <row r="826" spans="1:14" x14ac:dyDescent="0.25">
      <c r="A826">
        <v>825</v>
      </c>
      <c r="B826" s="1" t="s">
        <v>20</v>
      </c>
      <c r="C826">
        <v>63</v>
      </c>
      <c r="D826" s="1" t="s">
        <v>37</v>
      </c>
      <c r="E826" s="1" t="s">
        <v>31</v>
      </c>
      <c r="F826" s="1" t="s">
        <v>16</v>
      </c>
      <c r="G826" s="2">
        <v>44930</v>
      </c>
      <c r="H826">
        <v>13</v>
      </c>
      <c r="I826">
        <v>30633</v>
      </c>
      <c r="J826" s="1" t="s">
        <v>24</v>
      </c>
      <c r="K826">
        <v>2023</v>
      </c>
      <c r="L826" t="s">
        <v>48</v>
      </c>
      <c r="M826" t="s">
        <v>19</v>
      </c>
      <c r="N826">
        <v>1</v>
      </c>
    </row>
    <row r="827" spans="1:14" x14ac:dyDescent="0.25">
      <c r="A827">
        <v>826</v>
      </c>
      <c r="B827" s="1" t="s">
        <v>20</v>
      </c>
      <c r="C827">
        <v>54</v>
      </c>
      <c r="D827" s="1" t="s">
        <v>45</v>
      </c>
      <c r="E827" s="1" t="s">
        <v>35</v>
      </c>
      <c r="F827" s="1" t="s">
        <v>32</v>
      </c>
      <c r="G827" s="2">
        <v>45030</v>
      </c>
      <c r="H827">
        <v>14</v>
      </c>
      <c r="I827">
        <v>26495</v>
      </c>
      <c r="J827" s="1" t="s">
        <v>17</v>
      </c>
      <c r="K827">
        <v>2023</v>
      </c>
      <c r="L827" t="s">
        <v>33</v>
      </c>
      <c r="M827" t="s">
        <v>38</v>
      </c>
      <c r="N827">
        <v>4</v>
      </c>
    </row>
    <row r="828" spans="1:14" x14ac:dyDescent="0.25">
      <c r="A828">
        <v>827</v>
      </c>
      <c r="B828" s="1" t="s">
        <v>13</v>
      </c>
      <c r="C828">
        <v>74</v>
      </c>
      <c r="D828" s="1" t="s">
        <v>37</v>
      </c>
      <c r="E828" s="1" t="s">
        <v>15</v>
      </c>
      <c r="F828" s="1" t="s">
        <v>16</v>
      </c>
      <c r="G828" s="2">
        <v>45039</v>
      </c>
      <c r="H828">
        <v>14</v>
      </c>
      <c r="I828">
        <v>17848</v>
      </c>
      <c r="J828" s="1" t="s">
        <v>24</v>
      </c>
      <c r="K828">
        <v>2023</v>
      </c>
      <c r="L828" t="s">
        <v>33</v>
      </c>
      <c r="M828" t="s">
        <v>19</v>
      </c>
      <c r="N828">
        <v>4</v>
      </c>
    </row>
    <row r="829" spans="1:14" x14ac:dyDescent="0.25">
      <c r="A829">
        <v>828</v>
      </c>
      <c r="B829" s="1" t="s">
        <v>20</v>
      </c>
      <c r="C829">
        <v>57</v>
      </c>
      <c r="D829" s="1" t="s">
        <v>37</v>
      </c>
      <c r="E829" s="1" t="s">
        <v>22</v>
      </c>
      <c r="F829" s="1" t="s">
        <v>28</v>
      </c>
      <c r="G829" s="2">
        <v>44953</v>
      </c>
      <c r="H829">
        <v>2</v>
      </c>
      <c r="I829">
        <v>38483</v>
      </c>
      <c r="J829" s="1" t="s">
        <v>24</v>
      </c>
      <c r="K829">
        <v>2023</v>
      </c>
      <c r="L829" t="s">
        <v>48</v>
      </c>
      <c r="M829" t="s">
        <v>38</v>
      </c>
      <c r="N829">
        <v>1</v>
      </c>
    </row>
    <row r="830" spans="1:14" x14ac:dyDescent="0.25">
      <c r="A830">
        <v>829</v>
      </c>
      <c r="B830" s="1" t="s">
        <v>13</v>
      </c>
      <c r="C830">
        <v>41</v>
      </c>
      <c r="D830" s="1" t="s">
        <v>34</v>
      </c>
      <c r="E830" s="1" t="s">
        <v>15</v>
      </c>
      <c r="F830" s="1" t="s">
        <v>28</v>
      </c>
      <c r="G830" s="2">
        <v>44969</v>
      </c>
      <c r="H830">
        <v>13</v>
      </c>
      <c r="I830">
        <v>49645</v>
      </c>
      <c r="J830" s="1" t="s">
        <v>39</v>
      </c>
      <c r="K830">
        <v>2023</v>
      </c>
      <c r="L830" t="s">
        <v>46</v>
      </c>
      <c r="M830" t="s">
        <v>38</v>
      </c>
      <c r="N830">
        <v>2</v>
      </c>
    </row>
    <row r="831" spans="1:14" x14ac:dyDescent="0.25">
      <c r="A831">
        <v>830</v>
      </c>
      <c r="B831" s="1" t="s">
        <v>20</v>
      </c>
      <c r="C831">
        <v>3</v>
      </c>
      <c r="D831" s="1" t="s">
        <v>30</v>
      </c>
      <c r="E831" s="1" t="s">
        <v>22</v>
      </c>
      <c r="F831" s="1" t="s">
        <v>32</v>
      </c>
      <c r="G831" s="2">
        <v>45242</v>
      </c>
      <c r="H831">
        <v>11</v>
      </c>
      <c r="I831">
        <v>9837</v>
      </c>
      <c r="J831" s="1" t="s">
        <v>24</v>
      </c>
      <c r="K831">
        <v>2023</v>
      </c>
      <c r="L831" t="s">
        <v>18</v>
      </c>
      <c r="M831" t="s">
        <v>25</v>
      </c>
      <c r="N831">
        <v>11</v>
      </c>
    </row>
    <row r="832" spans="1:14" x14ac:dyDescent="0.25">
      <c r="A832">
        <v>831</v>
      </c>
      <c r="B832" s="1" t="s">
        <v>13</v>
      </c>
      <c r="C832">
        <v>6</v>
      </c>
      <c r="D832" s="1" t="s">
        <v>21</v>
      </c>
      <c r="E832" s="1" t="s">
        <v>22</v>
      </c>
      <c r="F832" s="1" t="s">
        <v>28</v>
      </c>
      <c r="G832" s="2">
        <v>44945</v>
      </c>
      <c r="H832">
        <v>5</v>
      </c>
      <c r="I832">
        <v>36069</v>
      </c>
      <c r="J832" s="1" t="s">
        <v>39</v>
      </c>
      <c r="K832">
        <v>2023</v>
      </c>
      <c r="L832" t="s">
        <v>48</v>
      </c>
      <c r="M832" t="s">
        <v>25</v>
      </c>
      <c r="N832">
        <v>1</v>
      </c>
    </row>
    <row r="833" spans="1:14" x14ac:dyDescent="0.25">
      <c r="A833">
        <v>832</v>
      </c>
      <c r="B833" s="1" t="s">
        <v>13</v>
      </c>
      <c r="C833">
        <v>5</v>
      </c>
      <c r="D833" s="1" t="s">
        <v>30</v>
      </c>
      <c r="E833" s="1" t="s">
        <v>35</v>
      </c>
      <c r="F833" s="1" t="s">
        <v>23</v>
      </c>
      <c r="G833" s="2">
        <v>45025</v>
      </c>
      <c r="H833">
        <v>14</v>
      </c>
      <c r="I833">
        <v>9370</v>
      </c>
      <c r="J833" s="1" t="s">
        <v>17</v>
      </c>
      <c r="K833">
        <v>2023</v>
      </c>
      <c r="L833" t="s">
        <v>33</v>
      </c>
      <c r="M833" t="s">
        <v>25</v>
      </c>
      <c r="N833">
        <v>4</v>
      </c>
    </row>
    <row r="834" spans="1:14" x14ac:dyDescent="0.25">
      <c r="A834">
        <v>833</v>
      </c>
      <c r="B834" s="1" t="s">
        <v>13</v>
      </c>
      <c r="C834">
        <v>5</v>
      </c>
      <c r="D834" s="1" t="s">
        <v>34</v>
      </c>
      <c r="E834" s="1" t="s">
        <v>35</v>
      </c>
      <c r="F834" s="1" t="s">
        <v>16</v>
      </c>
      <c r="G834" s="2">
        <v>45159</v>
      </c>
      <c r="H834">
        <v>5</v>
      </c>
      <c r="I834">
        <v>8411</v>
      </c>
      <c r="J834" s="1" t="s">
        <v>24</v>
      </c>
      <c r="K834">
        <v>2023</v>
      </c>
      <c r="L834" t="s">
        <v>47</v>
      </c>
      <c r="M834" t="s">
        <v>25</v>
      </c>
      <c r="N834">
        <v>8</v>
      </c>
    </row>
    <row r="835" spans="1:14" x14ac:dyDescent="0.25">
      <c r="A835">
        <v>834</v>
      </c>
      <c r="B835" s="1" t="s">
        <v>20</v>
      </c>
      <c r="C835">
        <v>54</v>
      </c>
      <c r="D835" s="1" t="s">
        <v>21</v>
      </c>
      <c r="E835" s="1" t="s">
        <v>15</v>
      </c>
      <c r="F835" s="1" t="s">
        <v>28</v>
      </c>
      <c r="G835" s="2">
        <v>44976</v>
      </c>
      <c r="H835">
        <v>7</v>
      </c>
      <c r="I835">
        <v>41133</v>
      </c>
      <c r="J835" s="1" t="s">
        <v>24</v>
      </c>
      <c r="K835">
        <v>2023</v>
      </c>
      <c r="L835" t="s">
        <v>46</v>
      </c>
      <c r="M835" t="s">
        <v>38</v>
      </c>
      <c r="N835">
        <v>2</v>
      </c>
    </row>
    <row r="836" spans="1:14" x14ac:dyDescent="0.25">
      <c r="A836">
        <v>835</v>
      </c>
      <c r="B836" s="1" t="s">
        <v>13</v>
      </c>
      <c r="C836">
        <v>47</v>
      </c>
      <c r="D836" s="1" t="s">
        <v>37</v>
      </c>
      <c r="E836" s="1" t="s">
        <v>22</v>
      </c>
      <c r="F836" s="1" t="s">
        <v>23</v>
      </c>
      <c r="G836" s="2">
        <v>45162</v>
      </c>
      <c r="H836">
        <v>1</v>
      </c>
      <c r="I836">
        <v>32499</v>
      </c>
      <c r="J836" s="1" t="s">
        <v>24</v>
      </c>
      <c r="K836">
        <v>2023</v>
      </c>
      <c r="L836" t="s">
        <v>47</v>
      </c>
      <c r="M836" t="s">
        <v>38</v>
      </c>
      <c r="N836">
        <v>8</v>
      </c>
    </row>
    <row r="837" spans="1:14" x14ac:dyDescent="0.25">
      <c r="A837">
        <v>836</v>
      </c>
      <c r="B837" s="1" t="s">
        <v>20</v>
      </c>
      <c r="C837">
        <v>87</v>
      </c>
      <c r="D837" s="1" t="s">
        <v>34</v>
      </c>
      <c r="E837" s="1" t="s">
        <v>15</v>
      </c>
      <c r="F837" s="1" t="s">
        <v>32</v>
      </c>
      <c r="G837" s="2">
        <v>45040</v>
      </c>
      <c r="H837">
        <v>8</v>
      </c>
      <c r="I837">
        <v>32225</v>
      </c>
      <c r="J837" s="1" t="s">
        <v>39</v>
      </c>
      <c r="K837">
        <v>2023</v>
      </c>
      <c r="L837" t="s">
        <v>33</v>
      </c>
      <c r="M837" t="s">
        <v>19</v>
      </c>
      <c r="N837">
        <v>4</v>
      </c>
    </row>
    <row r="838" spans="1:14" x14ac:dyDescent="0.25">
      <c r="A838">
        <v>837</v>
      </c>
      <c r="B838" s="1" t="s">
        <v>13</v>
      </c>
      <c r="C838">
        <v>49</v>
      </c>
      <c r="D838" s="1" t="s">
        <v>37</v>
      </c>
      <c r="E838" s="1" t="s">
        <v>31</v>
      </c>
      <c r="F838" s="1" t="s">
        <v>23</v>
      </c>
      <c r="G838" s="2">
        <v>44960</v>
      </c>
      <c r="H838">
        <v>3</v>
      </c>
      <c r="I838">
        <v>2692</v>
      </c>
      <c r="J838" s="1" t="s">
        <v>39</v>
      </c>
      <c r="K838">
        <v>2023</v>
      </c>
      <c r="L838" t="s">
        <v>46</v>
      </c>
      <c r="M838" t="s">
        <v>38</v>
      </c>
      <c r="N838">
        <v>2</v>
      </c>
    </row>
    <row r="839" spans="1:14" x14ac:dyDescent="0.25">
      <c r="A839">
        <v>838</v>
      </c>
      <c r="B839" s="1" t="s">
        <v>13</v>
      </c>
      <c r="C839">
        <v>9</v>
      </c>
      <c r="D839" s="1" t="s">
        <v>45</v>
      </c>
      <c r="E839" s="1" t="s">
        <v>15</v>
      </c>
      <c r="F839" s="1" t="s">
        <v>32</v>
      </c>
      <c r="G839" s="2">
        <v>45255</v>
      </c>
      <c r="H839">
        <v>4</v>
      </c>
      <c r="I839">
        <v>30926</v>
      </c>
      <c r="J839" s="1" t="s">
        <v>24</v>
      </c>
      <c r="K839">
        <v>2023</v>
      </c>
      <c r="L839" t="s">
        <v>18</v>
      </c>
      <c r="M839" t="s">
        <v>25</v>
      </c>
      <c r="N839">
        <v>11</v>
      </c>
    </row>
    <row r="840" spans="1:14" x14ac:dyDescent="0.25">
      <c r="A840">
        <v>839</v>
      </c>
      <c r="B840" s="1" t="s">
        <v>20</v>
      </c>
      <c r="C840">
        <v>20</v>
      </c>
      <c r="D840" s="1" t="s">
        <v>14</v>
      </c>
      <c r="E840" s="1" t="s">
        <v>27</v>
      </c>
      <c r="F840" s="1" t="s">
        <v>32</v>
      </c>
      <c r="G840" s="2">
        <v>45213</v>
      </c>
      <c r="H840">
        <v>9</v>
      </c>
      <c r="I840">
        <v>36246</v>
      </c>
      <c r="J840" s="1" t="s">
        <v>24</v>
      </c>
      <c r="K840">
        <v>2023</v>
      </c>
      <c r="L840" t="s">
        <v>41</v>
      </c>
      <c r="M840" t="s">
        <v>29</v>
      </c>
      <c r="N840">
        <v>10</v>
      </c>
    </row>
    <row r="841" spans="1:14" x14ac:dyDescent="0.25">
      <c r="A841">
        <v>840</v>
      </c>
      <c r="B841" s="1" t="s">
        <v>13</v>
      </c>
      <c r="C841">
        <v>61</v>
      </c>
      <c r="D841" s="1" t="s">
        <v>34</v>
      </c>
      <c r="E841" s="1" t="s">
        <v>15</v>
      </c>
      <c r="F841" s="1" t="s">
        <v>16</v>
      </c>
      <c r="G841" s="2">
        <v>45265</v>
      </c>
      <c r="H841">
        <v>4</v>
      </c>
      <c r="I841">
        <v>41164</v>
      </c>
      <c r="J841" s="1" t="s">
        <v>24</v>
      </c>
      <c r="K841">
        <v>2023</v>
      </c>
      <c r="L841" t="s">
        <v>26</v>
      </c>
      <c r="M841" t="s">
        <v>19</v>
      </c>
      <c r="N841">
        <v>12</v>
      </c>
    </row>
    <row r="842" spans="1:14" x14ac:dyDescent="0.25">
      <c r="A842">
        <v>841</v>
      </c>
      <c r="B842" s="1" t="s">
        <v>13</v>
      </c>
      <c r="C842">
        <v>35</v>
      </c>
      <c r="D842" s="1" t="s">
        <v>45</v>
      </c>
      <c r="E842" s="1" t="s">
        <v>27</v>
      </c>
      <c r="F842" s="1" t="s">
        <v>16</v>
      </c>
      <c r="G842" s="2">
        <v>44948</v>
      </c>
      <c r="H842">
        <v>10</v>
      </c>
      <c r="I842">
        <v>10448</v>
      </c>
      <c r="J842" s="1" t="s">
        <v>39</v>
      </c>
      <c r="K842">
        <v>2023</v>
      </c>
      <c r="L842" t="s">
        <v>48</v>
      </c>
      <c r="M842" t="s">
        <v>29</v>
      </c>
      <c r="N842">
        <v>1</v>
      </c>
    </row>
    <row r="843" spans="1:14" x14ac:dyDescent="0.25">
      <c r="A843">
        <v>842</v>
      </c>
      <c r="B843" s="1" t="s">
        <v>20</v>
      </c>
      <c r="C843">
        <v>50</v>
      </c>
      <c r="D843" s="1" t="s">
        <v>34</v>
      </c>
      <c r="E843" s="1" t="s">
        <v>27</v>
      </c>
      <c r="F843" s="1" t="s">
        <v>23</v>
      </c>
      <c r="G843" s="2">
        <v>44967</v>
      </c>
      <c r="H843">
        <v>12</v>
      </c>
      <c r="I843">
        <v>45390</v>
      </c>
      <c r="J843" s="1" t="s">
        <v>24</v>
      </c>
      <c r="K843">
        <v>2023</v>
      </c>
      <c r="L843" t="s">
        <v>46</v>
      </c>
      <c r="M843" t="s">
        <v>38</v>
      </c>
      <c r="N843">
        <v>2</v>
      </c>
    </row>
    <row r="844" spans="1:14" x14ac:dyDescent="0.25">
      <c r="A844">
        <v>843</v>
      </c>
      <c r="B844" s="1" t="s">
        <v>13</v>
      </c>
      <c r="C844">
        <v>82</v>
      </c>
      <c r="D844" s="1" t="s">
        <v>34</v>
      </c>
      <c r="E844" s="1" t="s">
        <v>27</v>
      </c>
      <c r="F844" s="1" t="s">
        <v>16</v>
      </c>
      <c r="G844" s="2">
        <v>45053</v>
      </c>
      <c r="H844">
        <v>5</v>
      </c>
      <c r="I844">
        <v>12073</v>
      </c>
      <c r="J844" s="1" t="s">
        <v>24</v>
      </c>
      <c r="K844">
        <v>2023</v>
      </c>
      <c r="L844" t="s">
        <v>42</v>
      </c>
      <c r="M844" t="s">
        <v>19</v>
      </c>
      <c r="N844">
        <v>5</v>
      </c>
    </row>
    <row r="845" spans="1:14" x14ac:dyDescent="0.25">
      <c r="A845">
        <v>844</v>
      </c>
      <c r="B845" s="1" t="s">
        <v>13</v>
      </c>
      <c r="C845">
        <v>62</v>
      </c>
      <c r="D845" s="1" t="s">
        <v>45</v>
      </c>
      <c r="E845" s="1" t="s">
        <v>31</v>
      </c>
      <c r="F845" s="1" t="s">
        <v>16</v>
      </c>
      <c r="G845" s="2">
        <v>44998</v>
      </c>
      <c r="H845">
        <v>7</v>
      </c>
      <c r="I845">
        <v>37414</v>
      </c>
      <c r="J845" s="1" t="s">
        <v>24</v>
      </c>
      <c r="K845">
        <v>2023</v>
      </c>
      <c r="L845" t="s">
        <v>43</v>
      </c>
      <c r="M845" t="s">
        <v>19</v>
      </c>
      <c r="N845">
        <v>3</v>
      </c>
    </row>
    <row r="846" spans="1:14" x14ac:dyDescent="0.25">
      <c r="A846">
        <v>845</v>
      </c>
      <c r="B846" s="1" t="s">
        <v>13</v>
      </c>
      <c r="C846">
        <v>17</v>
      </c>
      <c r="D846" s="1" t="s">
        <v>21</v>
      </c>
      <c r="E846" s="1" t="s">
        <v>15</v>
      </c>
      <c r="F846" s="1" t="s">
        <v>16</v>
      </c>
      <c r="G846" s="2">
        <v>45275</v>
      </c>
      <c r="H846">
        <v>4</v>
      </c>
      <c r="I846">
        <v>7209</v>
      </c>
      <c r="J846" s="1" t="s">
        <v>39</v>
      </c>
      <c r="K846">
        <v>2023</v>
      </c>
      <c r="L846" t="s">
        <v>26</v>
      </c>
      <c r="M846" t="s">
        <v>25</v>
      </c>
      <c r="N846">
        <v>12</v>
      </c>
    </row>
    <row r="847" spans="1:14" x14ac:dyDescent="0.25">
      <c r="A847">
        <v>846</v>
      </c>
      <c r="B847" s="1" t="s">
        <v>13</v>
      </c>
      <c r="C847">
        <v>88</v>
      </c>
      <c r="D847" s="1" t="s">
        <v>30</v>
      </c>
      <c r="E847" s="1" t="s">
        <v>15</v>
      </c>
      <c r="F847" s="1" t="s">
        <v>23</v>
      </c>
      <c r="G847" s="2">
        <v>44943</v>
      </c>
      <c r="H847">
        <v>14</v>
      </c>
      <c r="I847">
        <v>8533</v>
      </c>
      <c r="J847" s="1" t="s">
        <v>24</v>
      </c>
      <c r="K847">
        <v>2023</v>
      </c>
      <c r="L847" t="s">
        <v>48</v>
      </c>
      <c r="M847" t="s">
        <v>19</v>
      </c>
      <c r="N847">
        <v>1</v>
      </c>
    </row>
    <row r="848" spans="1:14" x14ac:dyDescent="0.25">
      <c r="A848">
        <v>847</v>
      </c>
      <c r="B848" s="1" t="s">
        <v>20</v>
      </c>
      <c r="C848">
        <v>3</v>
      </c>
      <c r="D848" s="1" t="s">
        <v>37</v>
      </c>
      <c r="E848" s="1" t="s">
        <v>31</v>
      </c>
      <c r="F848" s="1" t="s">
        <v>28</v>
      </c>
      <c r="G848" s="2">
        <v>45260</v>
      </c>
      <c r="H848">
        <v>1</v>
      </c>
      <c r="I848">
        <v>23061</v>
      </c>
      <c r="J848" s="1" t="s">
        <v>24</v>
      </c>
      <c r="K848">
        <v>2023</v>
      </c>
      <c r="L848" t="s">
        <v>18</v>
      </c>
      <c r="M848" t="s">
        <v>25</v>
      </c>
      <c r="N848">
        <v>11</v>
      </c>
    </row>
    <row r="849" spans="1:14" x14ac:dyDescent="0.25">
      <c r="A849">
        <v>848</v>
      </c>
      <c r="B849" s="1" t="s">
        <v>20</v>
      </c>
      <c r="C849">
        <v>32</v>
      </c>
      <c r="D849" s="1" t="s">
        <v>34</v>
      </c>
      <c r="E849" s="1" t="s">
        <v>22</v>
      </c>
      <c r="F849" s="1" t="s">
        <v>16</v>
      </c>
      <c r="G849" s="2">
        <v>44995</v>
      </c>
      <c r="H849">
        <v>9</v>
      </c>
      <c r="I849">
        <v>9211</v>
      </c>
      <c r="J849" s="1" t="s">
        <v>24</v>
      </c>
      <c r="K849">
        <v>2023</v>
      </c>
      <c r="L849" t="s">
        <v>43</v>
      </c>
      <c r="M849" t="s">
        <v>29</v>
      </c>
      <c r="N849">
        <v>3</v>
      </c>
    </row>
    <row r="850" spans="1:14" x14ac:dyDescent="0.25">
      <c r="A850">
        <v>849</v>
      </c>
      <c r="B850" s="1" t="s">
        <v>13</v>
      </c>
      <c r="C850">
        <v>13</v>
      </c>
      <c r="D850" s="1" t="s">
        <v>37</v>
      </c>
      <c r="E850" s="1" t="s">
        <v>35</v>
      </c>
      <c r="F850" s="1" t="s">
        <v>16</v>
      </c>
      <c r="G850" s="2">
        <v>45274</v>
      </c>
      <c r="H850">
        <v>4</v>
      </c>
      <c r="I850">
        <v>11927</v>
      </c>
      <c r="J850" s="1" t="s">
        <v>24</v>
      </c>
      <c r="K850">
        <v>2023</v>
      </c>
      <c r="L850" t="s">
        <v>26</v>
      </c>
      <c r="M850" t="s">
        <v>25</v>
      </c>
      <c r="N850">
        <v>12</v>
      </c>
    </row>
    <row r="851" spans="1:14" x14ac:dyDescent="0.25">
      <c r="A851">
        <v>850</v>
      </c>
      <c r="B851" s="1" t="s">
        <v>20</v>
      </c>
      <c r="C851">
        <v>89</v>
      </c>
      <c r="D851" s="1" t="s">
        <v>14</v>
      </c>
      <c r="E851" s="1" t="s">
        <v>15</v>
      </c>
      <c r="F851" s="1" t="s">
        <v>23</v>
      </c>
      <c r="G851" s="2">
        <v>45064</v>
      </c>
      <c r="H851">
        <v>9</v>
      </c>
      <c r="I851">
        <v>13927</v>
      </c>
      <c r="J851" s="1" t="s">
        <v>39</v>
      </c>
      <c r="K851">
        <v>2023</v>
      </c>
      <c r="L851" t="s">
        <v>42</v>
      </c>
      <c r="M851" t="s">
        <v>19</v>
      </c>
      <c r="N851">
        <v>5</v>
      </c>
    </row>
    <row r="852" spans="1:14" x14ac:dyDescent="0.25">
      <c r="A852">
        <v>851</v>
      </c>
      <c r="B852" s="1" t="s">
        <v>13</v>
      </c>
      <c r="C852">
        <v>73</v>
      </c>
      <c r="D852" s="1" t="s">
        <v>45</v>
      </c>
      <c r="E852" s="1" t="s">
        <v>35</v>
      </c>
      <c r="F852" s="1" t="s">
        <v>28</v>
      </c>
      <c r="G852" s="2">
        <v>45284</v>
      </c>
      <c r="H852">
        <v>6</v>
      </c>
      <c r="I852">
        <v>26594</v>
      </c>
      <c r="J852" s="1" t="s">
        <v>17</v>
      </c>
      <c r="K852">
        <v>2023</v>
      </c>
      <c r="L852" t="s">
        <v>26</v>
      </c>
      <c r="M852" t="s">
        <v>19</v>
      </c>
      <c r="N852">
        <v>12</v>
      </c>
    </row>
    <row r="853" spans="1:14" x14ac:dyDescent="0.25">
      <c r="A853">
        <v>852</v>
      </c>
      <c r="B853" s="1" t="s">
        <v>20</v>
      </c>
      <c r="C853">
        <v>68</v>
      </c>
      <c r="D853" s="1" t="s">
        <v>37</v>
      </c>
      <c r="E853" s="1" t="s">
        <v>31</v>
      </c>
      <c r="F853" s="1" t="s">
        <v>16</v>
      </c>
      <c r="G853" s="2">
        <v>45021</v>
      </c>
      <c r="H853">
        <v>1</v>
      </c>
      <c r="I853">
        <v>11316</v>
      </c>
      <c r="J853" s="1" t="s">
        <v>24</v>
      </c>
      <c r="K853">
        <v>2023</v>
      </c>
      <c r="L853" t="s">
        <v>33</v>
      </c>
      <c r="M853" t="s">
        <v>19</v>
      </c>
      <c r="N853">
        <v>4</v>
      </c>
    </row>
    <row r="854" spans="1:14" x14ac:dyDescent="0.25">
      <c r="A854">
        <v>853</v>
      </c>
      <c r="B854" s="1" t="s">
        <v>13</v>
      </c>
      <c r="C854">
        <v>14</v>
      </c>
      <c r="D854" s="1" t="s">
        <v>45</v>
      </c>
      <c r="E854" s="1" t="s">
        <v>22</v>
      </c>
      <c r="F854" s="1" t="s">
        <v>32</v>
      </c>
      <c r="G854" s="2">
        <v>44998</v>
      </c>
      <c r="H854">
        <v>12</v>
      </c>
      <c r="I854">
        <v>14177</v>
      </c>
      <c r="J854" s="1" t="s">
        <v>24</v>
      </c>
      <c r="K854">
        <v>2023</v>
      </c>
      <c r="L854" t="s">
        <v>43</v>
      </c>
      <c r="M854" t="s">
        <v>25</v>
      </c>
      <c r="N854">
        <v>3</v>
      </c>
    </row>
    <row r="855" spans="1:14" x14ac:dyDescent="0.25">
      <c r="A855">
        <v>854</v>
      </c>
      <c r="B855" s="1" t="s">
        <v>13</v>
      </c>
      <c r="C855">
        <v>11</v>
      </c>
      <c r="D855" s="1" t="s">
        <v>37</v>
      </c>
      <c r="E855" s="1" t="s">
        <v>22</v>
      </c>
      <c r="F855" s="1" t="s">
        <v>23</v>
      </c>
      <c r="G855" s="2">
        <v>45290</v>
      </c>
      <c r="H855">
        <v>3</v>
      </c>
      <c r="I855">
        <v>12846</v>
      </c>
      <c r="J855" s="1" t="s">
        <v>24</v>
      </c>
      <c r="K855">
        <v>2023</v>
      </c>
      <c r="L855" t="s">
        <v>26</v>
      </c>
      <c r="M855" t="s">
        <v>25</v>
      </c>
      <c r="N855">
        <v>12</v>
      </c>
    </row>
    <row r="856" spans="1:14" x14ac:dyDescent="0.25">
      <c r="A856">
        <v>855</v>
      </c>
      <c r="B856" s="1" t="s">
        <v>13</v>
      </c>
      <c r="C856">
        <v>56</v>
      </c>
      <c r="D856" s="1" t="s">
        <v>30</v>
      </c>
      <c r="E856" s="1" t="s">
        <v>22</v>
      </c>
      <c r="F856" s="1" t="s">
        <v>16</v>
      </c>
      <c r="G856" s="2">
        <v>45061</v>
      </c>
      <c r="H856">
        <v>11</v>
      </c>
      <c r="I856">
        <v>9933</v>
      </c>
      <c r="J856" s="1" t="s">
        <v>24</v>
      </c>
      <c r="K856">
        <v>2023</v>
      </c>
      <c r="L856" t="s">
        <v>42</v>
      </c>
      <c r="M856" t="s">
        <v>38</v>
      </c>
      <c r="N856">
        <v>5</v>
      </c>
    </row>
    <row r="857" spans="1:14" x14ac:dyDescent="0.25">
      <c r="A857">
        <v>856</v>
      </c>
      <c r="B857" s="1" t="s">
        <v>13</v>
      </c>
      <c r="C857">
        <v>67</v>
      </c>
      <c r="D857" s="1" t="s">
        <v>30</v>
      </c>
      <c r="E857" s="1" t="s">
        <v>31</v>
      </c>
      <c r="F857" s="1" t="s">
        <v>16</v>
      </c>
      <c r="G857" s="2">
        <v>45217</v>
      </c>
      <c r="H857">
        <v>2</v>
      </c>
      <c r="I857">
        <v>40244</v>
      </c>
      <c r="J857" s="1" t="s">
        <v>39</v>
      </c>
      <c r="K857">
        <v>2023</v>
      </c>
      <c r="L857" t="s">
        <v>41</v>
      </c>
      <c r="M857" t="s">
        <v>19</v>
      </c>
      <c r="N857">
        <v>10</v>
      </c>
    </row>
    <row r="858" spans="1:14" x14ac:dyDescent="0.25">
      <c r="A858">
        <v>857</v>
      </c>
      <c r="B858" s="1" t="s">
        <v>13</v>
      </c>
      <c r="C858">
        <v>29</v>
      </c>
      <c r="D858" s="1" t="s">
        <v>30</v>
      </c>
      <c r="E858" s="1" t="s">
        <v>27</v>
      </c>
      <c r="F858" s="1" t="s">
        <v>32</v>
      </c>
      <c r="G858" s="2">
        <v>45077</v>
      </c>
      <c r="H858">
        <v>9</v>
      </c>
      <c r="I858">
        <v>48621</v>
      </c>
      <c r="J858" s="1" t="s">
        <v>24</v>
      </c>
      <c r="K858">
        <v>2023</v>
      </c>
      <c r="L858" t="s">
        <v>42</v>
      </c>
      <c r="M858" t="s">
        <v>29</v>
      </c>
      <c r="N858">
        <v>5</v>
      </c>
    </row>
    <row r="859" spans="1:14" x14ac:dyDescent="0.25">
      <c r="A859">
        <v>858</v>
      </c>
      <c r="B859" s="1" t="s">
        <v>13</v>
      </c>
      <c r="C859">
        <v>9</v>
      </c>
      <c r="D859" s="1" t="s">
        <v>30</v>
      </c>
      <c r="E859" s="1" t="s">
        <v>27</v>
      </c>
      <c r="F859" s="1" t="s">
        <v>32</v>
      </c>
      <c r="G859" s="2">
        <v>45184</v>
      </c>
      <c r="H859">
        <v>12</v>
      </c>
      <c r="I859">
        <v>42696</v>
      </c>
      <c r="J859" s="1" t="s">
        <v>24</v>
      </c>
      <c r="K859">
        <v>2023</v>
      </c>
      <c r="L859" t="s">
        <v>44</v>
      </c>
      <c r="M859" t="s">
        <v>25</v>
      </c>
      <c r="N859">
        <v>9</v>
      </c>
    </row>
    <row r="860" spans="1:14" x14ac:dyDescent="0.25">
      <c r="A860">
        <v>859</v>
      </c>
      <c r="B860" s="1" t="s">
        <v>20</v>
      </c>
      <c r="C860">
        <v>67</v>
      </c>
      <c r="D860" s="1" t="s">
        <v>30</v>
      </c>
      <c r="E860" s="1" t="s">
        <v>35</v>
      </c>
      <c r="F860" s="1" t="s">
        <v>23</v>
      </c>
      <c r="G860" s="2">
        <v>45244</v>
      </c>
      <c r="H860">
        <v>1</v>
      </c>
      <c r="I860">
        <v>4080</v>
      </c>
      <c r="J860" s="1" t="s">
        <v>24</v>
      </c>
      <c r="K860">
        <v>2023</v>
      </c>
      <c r="L860" t="s">
        <v>18</v>
      </c>
      <c r="M860" t="s">
        <v>19</v>
      </c>
      <c r="N860">
        <v>11</v>
      </c>
    </row>
    <row r="861" spans="1:14" x14ac:dyDescent="0.25">
      <c r="A861">
        <v>860</v>
      </c>
      <c r="B861" s="1" t="s">
        <v>13</v>
      </c>
      <c r="C861">
        <v>25</v>
      </c>
      <c r="D861" s="1" t="s">
        <v>30</v>
      </c>
      <c r="E861" s="1" t="s">
        <v>27</v>
      </c>
      <c r="F861" s="1" t="s">
        <v>23</v>
      </c>
      <c r="G861" s="2">
        <v>44960</v>
      </c>
      <c r="H861">
        <v>13</v>
      </c>
      <c r="I861">
        <v>8089</v>
      </c>
      <c r="J861" s="1" t="s">
        <v>24</v>
      </c>
      <c r="K861">
        <v>2023</v>
      </c>
      <c r="L861" t="s">
        <v>46</v>
      </c>
      <c r="M861" t="s">
        <v>29</v>
      </c>
      <c r="N861">
        <v>2</v>
      </c>
    </row>
    <row r="862" spans="1:14" x14ac:dyDescent="0.25">
      <c r="A862">
        <v>861</v>
      </c>
      <c r="B862" s="1" t="s">
        <v>20</v>
      </c>
      <c r="C862">
        <v>76</v>
      </c>
      <c r="D862" s="1" t="s">
        <v>45</v>
      </c>
      <c r="E862" s="1" t="s">
        <v>27</v>
      </c>
      <c r="F862" s="1" t="s">
        <v>32</v>
      </c>
      <c r="G862" s="2">
        <v>45042</v>
      </c>
      <c r="H862">
        <v>14</v>
      </c>
      <c r="I862">
        <v>28123</v>
      </c>
      <c r="J862" s="1" t="s">
        <v>24</v>
      </c>
      <c r="K862">
        <v>2023</v>
      </c>
      <c r="L862" t="s">
        <v>33</v>
      </c>
      <c r="M862" t="s">
        <v>19</v>
      </c>
      <c r="N862">
        <v>4</v>
      </c>
    </row>
    <row r="863" spans="1:14" x14ac:dyDescent="0.25">
      <c r="A863">
        <v>862</v>
      </c>
      <c r="B863" s="1" t="s">
        <v>13</v>
      </c>
      <c r="C863">
        <v>42</v>
      </c>
      <c r="D863" s="1" t="s">
        <v>34</v>
      </c>
      <c r="E863" s="1" t="s">
        <v>22</v>
      </c>
      <c r="F863" s="1" t="s">
        <v>23</v>
      </c>
      <c r="G863" s="2">
        <v>45045</v>
      </c>
      <c r="H863">
        <v>9</v>
      </c>
      <c r="I863">
        <v>9797</v>
      </c>
      <c r="J863" s="1" t="s">
        <v>24</v>
      </c>
      <c r="K863">
        <v>2023</v>
      </c>
      <c r="L863" t="s">
        <v>33</v>
      </c>
      <c r="M863" t="s">
        <v>38</v>
      </c>
      <c r="N863">
        <v>4</v>
      </c>
    </row>
    <row r="864" spans="1:14" x14ac:dyDescent="0.25">
      <c r="A864">
        <v>863</v>
      </c>
      <c r="B864" s="1" t="s">
        <v>20</v>
      </c>
      <c r="C864">
        <v>9</v>
      </c>
      <c r="D864" s="1" t="s">
        <v>37</v>
      </c>
      <c r="E864" s="1" t="s">
        <v>22</v>
      </c>
      <c r="F864" s="1" t="s">
        <v>32</v>
      </c>
      <c r="G864" s="2">
        <v>44937</v>
      </c>
      <c r="H864">
        <v>9</v>
      </c>
      <c r="I864">
        <v>10346</v>
      </c>
      <c r="J864" s="1" t="s">
        <v>24</v>
      </c>
      <c r="K864">
        <v>2023</v>
      </c>
      <c r="L864" t="s">
        <v>48</v>
      </c>
      <c r="M864" t="s">
        <v>25</v>
      </c>
      <c r="N864">
        <v>1</v>
      </c>
    </row>
    <row r="865" spans="1:14" x14ac:dyDescent="0.25">
      <c r="A865">
        <v>864</v>
      </c>
      <c r="B865" s="1" t="s">
        <v>20</v>
      </c>
      <c r="C865">
        <v>79</v>
      </c>
      <c r="D865" s="1" t="s">
        <v>30</v>
      </c>
      <c r="E865" s="1" t="s">
        <v>35</v>
      </c>
      <c r="F865" s="1" t="s">
        <v>16</v>
      </c>
      <c r="G865" s="2">
        <v>45195</v>
      </c>
      <c r="H865">
        <v>8</v>
      </c>
      <c r="I865">
        <v>21878</v>
      </c>
      <c r="J865" s="1" t="s">
        <v>39</v>
      </c>
      <c r="K865">
        <v>2023</v>
      </c>
      <c r="L865" t="s">
        <v>44</v>
      </c>
      <c r="M865" t="s">
        <v>19</v>
      </c>
      <c r="N865">
        <v>9</v>
      </c>
    </row>
    <row r="866" spans="1:14" x14ac:dyDescent="0.25">
      <c r="A866">
        <v>865</v>
      </c>
      <c r="B866" s="1" t="s">
        <v>20</v>
      </c>
      <c r="C866">
        <v>40</v>
      </c>
      <c r="D866" s="1" t="s">
        <v>45</v>
      </c>
      <c r="E866" s="1" t="s">
        <v>15</v>
      </c>
      <c r="F866" s="1" t="s">
        <v>32</v>
      </c>
      <c r="G866" s="2">
        <v>44940</v>
      </c>
      <c r="H866">
        <v>8</v>
      </c>
      <c r="I866">
        <v>35672</v>
      </c>
      <c r="J866" s="1" t="s">
        <v>24</v>
      </c>
      <c r="K866">
        <v>2023</v>
      </c>
      <c r="L866" t="s">
        <v>48</v>
      </c>
      <c r="M866" t="s">
        <v>38</v>
      </c>
      <c r="N866">
        <v>1</v>
      </c>
    </row>
    <row r="867" spans="1:14" x14ac:dyDescent="0.25">
      <c r="A867">
        <v>866</v>
      </c>
      <c r="B867" s="1" t="s">
        <v>13</v>
      </c>
      <c r="C867">
        <v>25</v>
      </c>
      <c r="D867" s="1" t="s">
        <v>45</v>
      </c>
      <c r="E867" s="1" t="s">
        <v>35</v>
      </c>
      <c r="F867" s="1" t="s">
        <v>32</v>
      </c>
      <c r="G867" s="2">
        <v>45255</v>
      </c>
      <c r="H867">
        <v>11</v>
      </c>
      <c r="I867">
        <v>19653</v>
      </c>
      <c r="J867" s="1" t="s">
        <v>24</v>
      </c>
      <c r="K867">
        <v>2023</v>
      </c>
      <c r="L867" t="s">
        <v>18</v>
      </c>
      <c r="M867" t="s">
        <v>29</v>
      </c>
      <c r="N867">
        <v>11</v>
      </c>
    </row>
    <row r="868" spans="1:14" x14ac:dyDescent="0.25">
      <c r="A868">
        <v>867</v>
      </c>
      <c r="B868" s="1" t="s">
        <v>13</v>
      </c>
      <c r="C868">
        <v>5</v>
      </c>
      <c r="D868" s="1" t="s">
        <v>45</v>
      </c>
      <c r="E868" s="1" t="s">
        <v>35</v>
      </c>
      <c r="F868" s="1" t="s">
        <v>28</v>
      </c>
      <c r="G868" s="2">
        <v>45058</v>
      </c>
      <c r="H868">
        <v>14</v>
      </c>
      <c r="I868">
        <v>44742</v>
      </c>
      <c r="J868" s="1" t="s">
        <v>17</v>
      </c>
      <c r="K868">
        <v>2023</v>
      </c>
      <c r="L868" t="s">
        <v>42</v>
      </c>
      <c r="M868" t="s">
        <v>25</v>
      </c>
      <c r="N868">
        <v>5</v>
      </c>
    </row>
    <row r="869" spans="1:14" x14ac:dyDescent="0.25">
      <c r="A869">
        <v>868</v>
      </c>
      <c r="B869" s="1" t="s">
        <v>20</v>
      </c>
      <c r="C869">
        <v>11</v>
      </c>
      <c r="D869" s="1" t="s">
        <v>34</v>
      </c>
      <c r="E869" s="1" t="s">
        <v>31</v>
      </c>
      <c r="F869" s="1" t="s">
        <v>32</v>
      </c>
      <c r="G869" s="2">
        <v>45113</v>
      </c>
      <c r="H869">
        <v>12</v>
      </c>
      <c r="I869">
        <v>28140</v>
      </c>
      <c r="J869" s="1" t="s">
        <v>24</v>
      </c>
      <c r="K869">
        <v>2023</v>
      </c>
      <c r="L869" t="s">
        <v>36</v>
      </c>
      <c r="M869" t="s">
        <v>25</v>
      </c>
      <c r="N869">
        <v>7</v>
      </c>
    </row>
    <row r="870" spans="1:14" x14ac:dyDescent="0.25">
      <c r="A870">
        <v>869</v>
      </c>
      <c r="B870" s="1" t="s">
        <v>13</v>
      </c>
      <c r="C870">
        <v>59</v>
      </c>
      <c r="D870" s="1" t="s">
        <v>37</v>
      </c>
      <c r="E870" s="1" t="s">
        <v>31</v>
      </c>
      <c r="F870" s="1" t="s">
        <v>32</v>
      </c>
      <c r="G870" s="2">
        <v>45011</v>
      </c>
      <c r="H870">
        <v>1</v>
      </c>
      <c r="I870">
        <v>3184</v>
      </c>
      <c r="J870" s="1" t="s">
        <v>39</v>
      </c>
      <c r="K870">
        <v>2023</v>
      </c>
      <c r="L870" t="s">
        <v>43</v>
      </c>
      <c r="M870" t="s">
        <v>38</v>
      </c>
      <c r="N870">
        <v>3</v>
      </c>
    </row>
    <row r="871" spans="1:14" x14ac:dyDescent="0.25">
      <c r="A871">
        <v>870</v>
      </c>
      <c r="B871" s="1" t="s">
        <v>20</v>
      </c>
      <c r="C871">
        <v>88</v>
      </c>
      <c r="D871" s="1" t="s">
        <v>34</v>
      </c>
      <c r="E871" s="1" t="s">
        <v>35</v>
      </c>
      <c r="F871" s="1" t="s">
        <v>28</v>
      </c>
      <c r="G871" s="2">
        <v>44953</v>
      </c>
      <c r="H871">
        <v>11</v>
      </c>
      <c r="I871">
        <v>36493</v>
      </c>
      <c r="J871" s="1" t="s">
        <v>24</v>
      </c>
      <c r="K871">
        <v>2023</v>
      </c>
      <c r="L871" t="s">
        <v>48</v>
      </c>
      <c r="M871" t="s">
        <v>19</v>
      </c>
      <c r="N871">
        <v>1</v>
      </c>
    </row>
    <row r="872" spans="1:14" x14ac:dyDescent="0.25">
      <c r="A872">
        <v>871</v>
      </c>
      <c r="B872" s="1" t="s">
        <v>13</v>
      </c>
      <c r="C872">
        <v>79</v>
      </c>
      <c r="D872" s="1" t="s">
        <v>21</v>
      </c>
      <c r="E872" s="1" t="s">
        <v>35</v>
      </c>
      <c r="F872" s="1" t="s">
        <v>23</v>
      </c>
      <c r="G872" s="2">
        <v>45124</v>
      </c>
      <c r="H872">
        <v>8</v>
      </c>
      <c r="I872">
        <v>46148</v>
      </c>
      <c r="J872" s="1" t="s">
        <v>24</v>
      </c>
      <c r="K872">
        <v>2023</v>
      </c>
      <c r="L872" t="s">
        <v>36</v>
      </c>
      <c r="M872" t="s">
        <v>19</v>
      </c>
      <c r="N872">
        <v>7</v>
      </c>
    </row>
    <row r="873" spans="1:14" x14ac:dyDescent="0.25">
      <c r="A873">
        <v>872</v>
      </c>
      <c r="B873" s="1" t="s">
        <v>20</v>
      </c>
      <c r="C873">
        <v>38</v>
      </c>
      <c r="D873" s="1" t="s">
        <v>45</v>
      </c>
      <c r="E873" s="1" t="s">
        <v>35</v>
      </c>
      <c r="F873" s="1" t="s">
        <v>28</v>
      </c>
      <c r="G873" s="2">
        <v>45245</v>
      </c>
      <c r="H873">
        <v>10</v>
      </c>
      <c r="I873">
        <v>26846</v>
      </c>
      <c r="J873" s="1" t="s">
        <v>24</v>
      </c>
      <c r="K873">
        <v>2023</v>
      </c>
      <c r="L873" t="s">
        <v>18</v>
      </c>
      <c r="M873" t="s">
        <v>29</v>
      </c>
      <c r="N873">
        <v>11</v>
      </c>
    </row>
    <row r="874" spans="1:14" x14ac:dyDescent="0.25">
      <c r="A874">
        <v>873</v>
      </c>
      <c r="B874" s="1" t="s">
        <v>20</v>
      </c>
      <c r="C874">
        <v>72</v>
      </c>
      <c r="D874" s="1" t="s">
        <v>21</v>
      </c>
      <c r="E874" s="1" t="s">
        <v>27</v>
      </c>
      <c r="F874" s="1" t="s">
        <v>16</v>
      </c>
      <c r="G874" s="2">
        <v>45078</v>
      </c>
      <c r="H874">
        <v>14</v>
      </c>
      <c r="I874">
        <v>47825</v>
      </c>
      <c r="J874" s="1" t="s">
        <v>24</v>
      </c>
      <c r="K874">
        <v>2023</v>
      </c>
      <c r="L874" t="s">
        <v>40</v>
      </c>
      <c r="M874" t="s">
        <v>19</v>
      </c>
      <c r="N874">
        <v>6</v>
      </c>
    </row>
    <row r="875" spans="1:14" x14ac:dyDescent="0.25">
      <c r="A875">
        <v>874</v>
      </c>
      <c r="B875" s="1" t="s">
        <v>13</v>
      </c>
      <c r="C875">
        <v>5</v>
      </c>
      <c r="D875" s="1" t="s">
        <v>14</v>
      </c>
      <c r="E875" s="1" t="s">
        <v>31</v>
      </c>
      <c r="F875" s="1" t="s">
        <v>28</v>
      </c>
      <c r="G875" s="2">
        <v>45040</v>
      </c>
      <c r="H875">
        <v>3</v>
      </c>
      <c r="I875">
        <v>24195</v>
      </c>
      <c r="J875" s="1" t="s">
        <v>24</v>
      </c>
      <c r="K875">
        <v>2023</v>
      </c>
      <c r="L875" t="s">
        <v>33</v>
      </c>
      <c r="M875" t="s">
        <v>25</v>
      </c>
      <c r="N875">
        <v>4</v>
      </c>
    </row>
    <row r="876" spans="1:14" x14ac:dyDescent="0.25">
      <c r="A876">
        <v>875</v>
      </c>
      <c r="B876" s="1" t="s">
        <v>20</v>
      </c>
      <c r="C876">
        <v>48</v>
      </c>
      <c r="D876" s="1" t="s">
        <v>30</v>
      </c>
      <c r="E876" s="1" t="s">
        <v>35</v>
      </c>
      <c r="F876" s="1" t="s">
        <v>16</v>
      </c>
      <c r="G876" s="2">
        <v>45037</v>
      </c>
      <c r="H876">
        <v>11</v>
      </c>
      <c r="I876">
        <v>7606</v>
      </c>
      <c r="J876" s="1" t="s">
        <v>17</v>
      </c>
      <c r="K876">
        <v>2023</v>
      </c>
      <c r="L876" t="s">
        <v>33</v>
      </c>
      <c r="M876" t="s">
        <v>38</v>
      </c>
      <c r="N876">
        <v>4</v>
      </c>
    </row>
    <row r="877" spans="1:14" x14ac:dyDescent="0.25">
      <c r="A877">
        <v>876</v>
      </c>
      <c r="B877" s="1" t="s">
        <v>13</v>
      </c>
      <c r="C877">
        <v>18</v>
      </c>
      <c r="D877" s="1" t="s">
        <v>30</v>
      </c>
      <c r="E877" s="1" t="s">
        <v>22</v>
      </c>
      <c r="F877" s="1" t="s">
        <v>23</v>
      </c>
      <c r="G877" s="2">
        <v>45210</v>
      </c>
      <c r="H877">
        <v>7</v>
      </c>
      <c r="I877">
        <v>5956</v>
      </c>
      <c r="J877" s="1" t="s">
        <v>24</v>
      </c>
      <c r="K877">
        <v>2023</v>
      </c>
      <c r="L877" t="s">
        <v>41</v>
      </c>
      <c r="M877" t="s">
        <v>29</v>
      </c>
      <c r="N877">
        <v>10</v>
      </c>
    </row>
    <row r="878" spans="1:14" x14ac:dyDescent="0.25">
      <c r="A878">
        <v>877</v>
      </c>
      <c r="B878" s="1" t="s">
        <v>20</v>
      </c>
      <c r="C878">
        <v>70</v>
      </c>
      <c r="D878" s="1" t="s">
        <v>34</v>
      </c>
      <c r="E878" s="1" t="s">
        <v>22</v>
      </c>
      <c r="F878" s="1" t="s">
        <v>28</v>
      </c>
      <c r="G878" s="2">
        <v>45038</v>
      </c>
      <c r="H878">
        <v>11</v>
      </c>
      <c r="I878">
        <v>18555</v>
      </c>
      <c r="J878" s="1" t="s">
        <v>24</v>
      </c>
      <c r="K878">
        <v>2023</v>
      </c>
      <c r="L878" t="s">
        <v>33</v>
      </c>
      <c r="M878" t="s">
        <v>19</v>
      </c>
      <c r="N878">
        <v>4</v>
      </c>
    </row>
    <row r="879" spans="1:14" x14ac:dyDescent="0.25">
      <c r="A879">
        <v>878</v>
      </c>
      <c r="B879" s="1" t="s">
        <v>20</v>
      </c>
      <c r="C879">
        <v>37</v>
      </c>
      <c r="D879" s="1" t="s">
        <v>37</v>
      </c>
      <c r="E879" s="1" t="s">
        <v>27</v>
      </c>
      <c r="F879" s="1" t="s">
        <v>28</v>
      </c>
      <c r="G879" s="2">
        <v>45262</v>
      </c>
      <c r="H879">
        <v>1</v>
      </c>
      <c r="I879">
        <v>26849</v>
      </c>
      <c r="J879" s="1" t="s">
        <v>24</v>
      </c>
      <c r="K879">
        <v>2023</v>
      </c>
      <c r="L879" t="s">
        <v>26</v>
      </c>
      <c r="M879" t="s">
        <v>29</v>
      </c>
      <c r="N879">
        <v>12</v>
      </c>
    </row>
    <row r="880" spans="1:14" x14ac:dyDescent="0.25">
      <c r="A880">
        <v>879</v>
      </c>
      <c r="B880" s="1" t="s">
        <v>13</v>
      </c>
      <c r="C880">
        <v>60</v>
      </c>
      <c r="D880" s="1" t="s">
        <v>21</v>
      </c>
      <c r="E880" s="1" t="s">
        <v>27</v>
      </c>
      <c r="F880" s="1" t="s">
        <v>23</v>
      </c>
      <c r="G880" s="2">
        <v>45096</v>
      </c>
      <c r="H880">
        <v>1</v>
      </c>
      <c r="I880">
        <v>20690</v>
      </c>
      <c r="J880" s="1" t="s">
        <v>24</v>
      </c>
      <c r="K880">
        <v>2023</v>
      </c>
      <c r="L880" t="s">
        <v>40</v>
      </c>
      <c r="M880" t="s">
        <v>19</v>
      </c>
      <c r="N880">
        <v>6</v>
      </c>
    </row>
    <row r="881" spans="1:14" x14ac:dyDescent="0.25">
      <c r="A881">
        <v>880</v>
      </c>
      <c r="B881" s="1" t="s">
        <v>13</v>
      </c>
      <c r="C881">
        <v>48</v>
      </c>
      <c r="D881" s="1" t="s">
        <v>37</v>
      </c>
      <c r="E881" s="1" t="s">
        <v>15</v>
      </c>
      <c r="F881" s="1" t="s">
        <v>16</v>
      </c>
      <c r="G881" s="2">
        <v>44928</v>
      </c>
      <c r="H881">
        <v>10</v>
      </c>
      <c r="I881">
        <v>28347</v>
      </c>
      <c r="J881" s="1" t="s">
        <v>24</v>
      </c>
      <c r="K881">
        <v>2023</v>
      </c>
      <c r="L881" t="s">
        <v>48</v>
      </c>
      <c r="M881" t="s">
        <v>38</v>
      </c>
      <c r="N881">
        <v>1</v>
      </c>
    </row>
    <row r="882" spans="1:14" x14ac:dyDescent="0.25">
      <c r="A882">
        <v>881</v>
      </c>
      <c r="B882" s="1" t="s">
        <v>13</v>
      </c>
      <c r="C882">
        <v>77</v>
      </c>
      <c r="D882" s="1" t="s">
        <v>34</v>
      </c>
      <c r="E882" s="1" t="s">
        <v>15</v>
      </c>
      <c r="F882" s="1" t="s">
        <v>28</v>
      </c>
      <c r="G882" s="2">
        <v>45184</v>
      </c>
      <c r="H882">
        <v>13</v>
      </c>
      <c r="I882">
        <v>35189</v>
      </c>
      <c r="J882" s="1" t="s">
        <v>24</v>
      </c>
      <c r="K882">
        <v>2023</v>
      </c>
      <c r="L882" t="s">
        <v>44</v>
      </c>
      <c r="M882" t="s">
        <v>19</v>
      </c>
      <c r="N882">
        <v>9</v>
      </c>
    </row>
    <row r="883" spans="1:14" x14ac:dyDescent="0.25">
      <c r="A883">
        <v>882</v>
      </c>
      <c r="B883" s="1" t="s">
        <v>20</v>
      </c>
      <c r="C883">
        <v>28</v>
      </c>
      <c r="D883" s="1" t="s">
        <v>30</v>
      </c>
      <c r="E883" s="1" t="s">
        <v>15</v>
      </c>
      <c r="F883" s="1" t="s">
        <v>16</v>
      </c>
      <c r="G883" s="2">
        <v>45071</v>
      </c>
      <c r="H883">
        <v>5</v>
      </c>
      <c r="I883">
        <v>40308</v>
      </c>
      <c r="J883" s="1" t="s">
        <v>39</v>
      </c>
      <c r="K883">
        <v>2023</v>
      </c>
      <c r="L883" t="s">
        <v>42</v>
      </c>
      <c r="M883" t="s">
        <v>29</v>
      </c>
      <c r="N883">
        <v>5</v>
      </c>
    </row>
    <row r="884" spans="1:14" x14ac:dyDescent="0.25">
      <c r="A884">
        <v>883</v>
      </c>
      <c r="B884" s="1" t="s">
        <v>13</v>
      </c>
      <c r="C884">
        <v>69</v>
      </c>
      <c r="D884" s="1" t="s">
        <v>37</v>
      </c>
      <c r="E884" s="1" t="s">
        <v>27</v>
      </c>
      <c r="F884" s="1" t="s">
        <v>28</v>
      </c>
      <c r="G884" s="2">
        <v>44977</v>
      </c>
      <c r="H884">
        <v>5</v>
      </c>
      <c r="I884">
        <v>27785</v>
      </c>
      <c r="J884" s="1" t="s">
        <v>17</v>
      </c>
      <c r="K884">
        <v>2023</v>
      </c>
      <c r="L884" t="s">
        <v>46</v>
      </c>
      <c r="M884" t="s">
        <v>19</v>
      </c>
      <c r="N884">
        <v>2</v>
      </c>
    </row>
    <row r="885" spans="1:14" x14ac:dyDescent="0.25">
      <c r="A885">
        <v>884</v>
      </c>
      <c r="B885" s="1" t="s">
        <v>20</v>
      </c>
      <c r="C885">
        <v>77</v>
      </c>
      <c r="D885" s="1" t="s">
        <v>37</v>
      </c>
      <c r="E885" s="1" t="s">
        <v>27</v>
      </c>
      <c r="F885" s="1" t="s">
        <v>32</v>
      </c>
      <c r="G885" s="2">
        <v>45233</v>
      </c>
      <c r="H885">
        <v>8</v>
      </c>
      <c r="I885">
        <v>34698</v>
      </c>
      <c r="J885" s="1" t="s">
        <v>24</v>
      </c>
      <c r="K885">
        <v>2023</v>
      </c>
      <c r="L885" t="s">
        <v>18</v>
      </c>
      <c r="M885" t="s">
        <v>19</v>
      </c>
      <c r="N885">
        <v>11</v>
      </c>
    </row>
    <row r="886" spans="1:14" x14ac:dyDescent="0.25">
      <c r="A886">
        <v>885</v>
      </c>
      <c r="B886" s="1" t="s">
        <v>20</v>
      </c>
      <c r="C886">
        <v>81</v>
      </c>
      <c r="D886" s="1" t="s">
        <v>30</v>
      </c>
      <c r="E886" s="1" t="s">
        <v>27</v>
      </c>
      <c r="F886" s="1" t="s">
        <v>28</v>
      </c>
      <c r="G886" s="2">
        <v>45252</v>
      </c>
      <c r="H886">
        <v>7</v>
      </c>
      <c r="I886">
        <v>17966</v>
      </c>
      <c r="J886" s="1" t="s">
        <v>24</v>
      </c>
      <c r="K886">
        <v>2023</v>
      </c>
      <c r="L886" t="s">
        <v>18</v>
      </c>
      <c r="M886" t="s">
        <v>19</v>
      </c>
      <c r="N886">
        <v>11</v>
      </c>
    </row>
    <row r="887" spans="1:14" x14ac:dyDescent="0.25">
      <c r="A887">
        <v>886</v>
      </c>
      <c r="B887" s="1" t="s">
        <v>13</v>
      </c>
      <c r="C887">
        <v>40</v>
      </c>
      <c r="D887" s="1" t="s">
        <v>21</v>
      </c>
      <c r="E887" s="1" t="s">
        <v>22</v>
      </c>
      <c r="F887" s="1" t="s">
        <v>23</v>
      </c>
      <c r="G887" s="2">
        <v>45110</v>
      </c>
      <c r="H887">
        <v>8</v>
      </c>
      <c r="I887">
        <v>33097</v>
      </c>
      <c r="J887" s="1" t="s">
        <v>17</v>
      </c>
      <c r="K887">
        <v>2023</v>
      </c>
      <c r="L887" t="s">
        <v>36</v>
      </c>
      <c r="M887" t="s">
        <v>38</v>
      </c>
      <c r="N887">
        <v>7</v>
      </c>
    </row>
    <row r="888" spans="1:14" x14ac:dyDescent="0.25">
      <c r="A888">
        <v>887</v>
      </c>
      <c r="B888" s="1" t="s">
        <v>13</v>
      </c>
      <c r="C888">
        <v>45</v>
      </c>
      <c r="D888" s="1" t="s">
        <v>30</v>
      </c>
      <c r="E888" s="1" t="s">
        <v>27</v>
      </c>
      <c r="F888" s="1" t="s">
        <v>23</v>
      </c>
      <c r="G888" s="2">
        <v>45288</v>
      </c>
      <c r="H888">
        <v>6</v>
      </c>
      <c r="I888">
        <v>17882</v>
      </c>
      <c r="J888" s="1" t="s">
        <v>39</v>
      </c>
      <c r="K888">
        <v>2023</v>
      </c>
      <c r="L888" t="s">
        <v>26</v>
      </c>
      <c r="M888" t="s">
        <v>38</v>
      </c>
      <c r="N888">
        <v>12</v>
      </c>
    </row>
    <row r="889" spans="1:14" x14ac:dyDescent="0.25">
      <c r="A889">
        <v>888</v>
      </c>
      <c r="B889" s="1" t="s">
        <v>20</v>
      </c>
      <c r="C889">
        <v>62</v>
      </c>
      <c r="D889" s="1" t="s">
        <v>37</v>
      </c>
      <c r="E889" s="1" t="s">
        <v>22</v>
      </c>
      <c r="F889" s="1" t="s">
        <v>16</v>
      </c>
      <c r="G889" s="2">
        <v>45249</v>
      </c>
      <c r="H889">
        <v>6</v>
      </c>
      <c r="I889">
        <v>6675</v>
      </c>
      <c r="J889" s="1" t="s">
        <v>24</v>
      </c>
      <c r="K889">
        <v>2023</v>
      </c>
      <c r="L889" t="s">
        <v>18</v>
      </c>
      <c r="M889" t="s">
        <v>19</v>
      </c>
      <c r="N889">
        <v>11</v>
      </c>
    </row>
    <row r="890" spans="1:14" x14ac:dyDescent="0.25">
      <c r="A890">
        <v>889</v>
      </c>
      <c r="B890" s="1" t="s">
        <v>20</v>
      </c>
      <c r="C890">
        <v>58</v>
      </c>
      <c r="D890" s="1" t="s">
        <v>21</v>
      </c>
      <c r="E890" s="1" t="s">
        <v>15</v>
      </c>
      <c r="F890" s="1" t="s">
        <v>28</v>
      </c>
      <c r="G890" s="2">
        <v>44939</v>
      </c>
      <c r="H890">
        <v>2</v>
      </c>
      <c r="I890">
        <v>43850</v>
      </c>
      <c r="J890" s="1" t="s">
        <v>17</v>
      </c>
      <c r="K890">
        <v>2023</v>
      </c>
      <c r="L890" t="s">
        <v>48</v>
      </c>
      <c r="M890" t="s">
        <v>38</v>
      </c>
      <c r="N890">
        <v>1</v>
      </c>
    </row>
    <row r="891" spans="1:14" x14ac:dyDescent="0.25">
      <c r="A891">
        <v>890</v>
      </c>
      <c r="B891" s="1" t="s">
        <v>13</v>
      </c>
      <c r="C891">
        <v>67</v>
      </c>
      <c r="D891" s="1" t="s">
        <v>21</v>
      </c>
      <c r="E891" s="1" t="s">
        <v>15</v>
      </c>
      <c r="F891" s="1" t="s">
        <v>16</v>
      </c>
      <c r="G891" s="2">
        <v>45129</v>
      </c>
      <c r="H891">
        <v>6</v>
      </c>
      <c r="I891">
        <v>15009</v>
      </c>
      <c r="J891" s="1" t="s">
        <v>24</v>
      </c>
      <c r="K891">
        <v>2023</v>
      </c>
      <c r="L891" t="s">
        <v>36</v>
      </c>
      <c r="M891" t="s">
        <v>19</v>
      </c>
      <c r="N891">
        <v>7</v>
      </c>
    </row>
    <row r="892" spans="1:14" x14ac:dyDescent="0.25">
      <c r="A892">
        <v>891</v>
      </c>
      <c r="B892" s="1" t="s">
        <v>13</v>
      </c>
      <c r="C892">
        <v>56</v>
      </c>
      <c r="D892" s="1" t="s">
        <v>30</v>
      </c>
      <c r="E892" s="1" t="s">
        <v>15</v>
      </c>
      <c r="F892" s="1" t="s">
        <v>16</v>
      </c>
      <c r="G892" s="2">
        <v>45204</v>
      </c>
      <c r="H892">
        <v>5</v>
      </c>
      <c r="I892">
        <v>29843</v>
      </c>
      <c r="J892" s="1" t="s">
        <v>17</v>
      </c>
      <c r="K892">
        <v>2023</v>
      </c>
      <c r="L892" t="s">
        <v>41</v>
      </c>
      <c r="M892" t="s">
        <v>38</v>
      </c>
      <c r="N892">
        <v>10</v>
      </c>
    </row>
    <row r="893" spans="1:14" x14ac:dyDescent="0.25">
      <c r="A893">
        <v>892</v>
      </c>
      <c r="B893" s="1" t="s">
        <v>13</v>
      </c>
      <c r="C893">
        <v>40</v>
      </c>
      <c r="D893" s="1" t="s">
        <v>37</v>
      </c>
      <c r="E893" s="1" t="s">
        <v>35</v>
      </c>
      <c r="F893" s="1" t="s">
        <v>32</v>
      </c>
      <c r="G893" s="2">
        <v>45072</v>
      </c>
      <c r="H893">
        <v>13</v>
      </c>
      <c r="I893">
        <v>31793</v>
      </c>
      <c r="J893" s="1" t="s">
        <v>24</v>
      </c>
      <c r="K893">
        <v>2023</v>
      </c>
      <c r="L893" t="s">
        <v>42</v>
      </c>
      <c r="M893" t="s">
        <v>38</v>
      </c>
      <c r="N893">
        <v>5</v>
      </c>
    </row>
    <row r="894" spans="1:14" x14ac:dyDescent="0.25">
      <c r="A894">
        <v>893</v>
      </c>
      <c r="B894" s="1" t="s">
        <v>13</v>
      </c>
      <c r="C894">
        <v>40</v>
      </c>
      <c r="D894" s="1" t="s">
        <v>34</v>
      </c>
      <c r="E894" s="1" t="s">
        <v>35</v>
      </c>
      <c r="F894" s="1" t="s">
        <v>32</v>
      </c>
      <c r="G894" s="2">
        <v>44985</v>
      </c>
      <c r="H894">
        <v>3</v>
      </c>
      <c r="I894">
        <v>41516</v>
      </c>
      <c r="J894" s="1" t="s">
        <v>24</v>
      </c>
      <c r="K894">
        <v>2023</v>
      </c>
      <c r="L894" t="s">
        <v>46</v>
      </c>
      <c r="M894" t="s">
        <v>38</v>
      </c>
      <c r="N894">
        <v>2</v>
      </c>
    </row>
    <row r="895" spans="1:14" x14ac:dyDescent="0.25">
      <c r="A895">
        <v>894</v>
      </c>
      <c r="B895" s="1" t="s">
        <v>13</v>
      </c>
      <c r="C895">
        <v>77</v>
      </c>
      <c r="D895" s="1" t="s">
        <v>37</v>
      </c>
      <c r="E895" s="1" t="s">
        <v>31</v>
      </c>
      <c r="F895" s="1" t="s">
        <v>23</v>
      </c>
      <c r="G895" s="2">
        <v>45085</v>
      </c>
      <c r="H895">
        <v>6</v>
      </c>
      <c r="I895">
        <v>40871</v>
      </c>
      <c r="J895" s="1" t="s">
        <v>39</v>
      </c>
      <c r="K895">
        <v>2023</v>
      </c>
      <c r="L895" t="s">
        <v>40</v>
      </c>
      <c r="M895" t="s">
        <v>19</v>
      </c>
      <c r="N895">
        <v>6</v>
      </c>
    </row>
    <row r="896" spans="1:14" x14ac:dyDescent="0.25">
      <c r="A896">
        <v>895</v>
      </c>
      <c r="B896" s="1" t="s">
        <v>20</v>
      </c>
      <c r="C896">
        <v>33</v>
      </c>
      <c r="D896" s="1" t="s">
        <v>45</v>
      </c>
      <c r="E896" s="1" t="s">
        <v>31</v>
      </c>
      <c r="F896" s="1" t="s">
        <v>16</v>
      </c>
      <c r="G896" s="2">
        <v>45197</v>
      </c>
      <c r="H896">
        <v>8</v>
      </c>
      <c r="I896">
        <v>19857</v>
      </c>
      <c r="J896" s="1" t="s">
        <v>24</v>
      </c>
      <c r="K896">
        <v>2023</v>
      </c>
      <c r="L896" t="s">
        <v>44</v>
      </c>
      <c r="M896" t="s">
        <v>29</v>
      </c>
      <c r="N896">
        <v>9</v>
      </c>
    </row>
    <row r="897" spans="1:14" x14ac:dyDescent="0.25">
      <c r="A897">
        <v>896</v>
      </c>
      <c r="B897" s="1" t="s">
        <v>20</v>
      </c>
      <c r="C897">
        <v>6</v>
      </c>
      <c r="D897" s="1" t="s">
        <v>14</v>
      </c>
      <c r="E897" s="1" t="s">
        <v>31</v>
      </c>
      <c r="F897" s="1" t="s">
        <v>23</v>
      </c>
      <c r="G897" s="2">
        <v>45211</v>
      </c>
      <c r="H897">
        <v>9</v>
      </c>
      <c r="I897">
        <v>21627</v>
      </c>
      <c r="J897" s="1" t="s">
        <v>24</v>
      </c>
      <c r="K897">
        <v>2023</v>
      </c>
      <c r="L897" t="s">
        <v>41</v>
      </c>
      <c r="M897" t="s">
        <v>25</v>
      </c>
      <c r="N897">
        <v>10</v>
      </c>
    </row>
    <row r="898" spans="1:14" x14ac:dyDescent="0.25">
      <c r="A898">
        <v>897</v>
      </c>
      <c r="B898" s="1" t="s">
        <v>20</v>
      </c>
      <c r="C898">
        <v>88</v>
      </c>
      <c r="D898" s="1" t="s">
        <v>34</v>
      </c>
      <c r="E898" s="1" t="s">
        <v>35</v>
      </c>
      <c r="F898" s="1" t="s">
        <v>28</v>
      </c>
      <c r="G898" s="2">
        <v>44997</v>
      </c>
      <c r="H898">
        <v>1</v>
      </c>
      <c r="I898">
        <v>20565</v>
      </c>
      <c r="J898" s="1" t="s">
        <v>24</v>
      </c>
      <c r="K898">
        <v>2023</v>
      </c>
      <c r="L898" t="s">
        <v>43</v>
      </c>
      <c r="M898" t="s">
        <v>19</v>
      </c>
      <c r="N898">
        <v>3</v>
      </c>
    </row>
    <row r="899" spans="1:14" x14ac:dyDescent="0.25">
      <c r="A899">
        <v>898</v>
      </c>
      <c r="B899" s="1" t="s">
        <v>20</v>
      </c>
      <c r="C899">
        <v>19</v>
      </c>
      <c r="D899" s="1" t="s">
        <v>21</v>
      </c>
      <c r="E899" s="1" t="s">
        <v>35</v>
      </c>
      <c r="F899" s="1" t="s">
        <v>16</v>
      </c>
      <c r="G899" s="2">
        <v>45086</v>
      </c>
      <c r="H899">
        <v>3</v>
      </c>
      <c r="I899">
        <v>28025</v>
      </c>
      <c r="J899" s="1" t="s">
        <v>17</v>
      </c>
      <c r="K899">
        <v>2023</v>
      </c>
      <c r="L899" t="s">
        <v>40</v>
      </c>
      <c r="M899" t="s">
        <v>29</v>
      </c>
      <c r="N899">
        <v>6</v>
      </c>
    </row>
    <row r="900" spans="1:14" x14ac:dyDescent="0.25">
      <c r="A900">
        <v>899</v>
      </c>
      <c r="B900" s="1" t="s">
        <v>13</v>
      </c>
      <c r="C900">
        <v>80</v>
      </c>
      <c r="D900" s="1" t="s">
        <v>34</v>
      </c>
      <c r="E900" s="1" t="s">
        <v>31</v>
      </c>
      <c r="F900" s="1" t="s">
        <v>16</v>
      </c>
      <c r="G900" s="2">
        <v>45008</v>
      </c>
      <c r="H900">
        <v>3</v>
      </c>
      <c r="I900">
        <v>29832</v>
      </c>
      <c r="J900" s="1" t="s">
        <v>39</v>
      </c>
      <c r="K900">
        <v>2023</v>
      </c>
      <c r="L900" t="s">
        <v>43</v>
      </c>
      <c r="M900" t="s">
        <v>19</v>
      </c>
      <c r="N900">
        <v>3</v>
      </c>
    </row>
    <row r="901" spans="1:14" x14ac:dyDescent="0.25">
      <c r="A901">
        <v>900</v>
      </c>
      <c r="B901" s="1" t="s">
        <v>13</v>
      </c>
      <c r="C901">
        <v>40</v>
      </c>
      <c r="D901" s="1" t="s">
        <v>21</v>
      </c>
      <c r="E901" s="1" t="s">
        <v>31</v>
      </c>
      <c r="F901" s="1" t="s">
        <v>28</v>
      </c>
      <c r="G901" s="2">
        <v>44958</v>
      </c>
      <c r="H901">
        <v>11</v>
      </c>
      <c r="I901">
        <v>46116</v>
      </c>
      <c r="J901" s="1" t="s">
        <v>39</v>
      </c>
      <c r="K901">
        <v>2023</v>
      </c>
      <c r="L901" t="s">
        <v>46</v>
      </c>
      <c r="M901" t="s">
        <v>38</v>
      </c>
      <c r="N901">
        <v>2</v>
      </c>
    </row>
    <row r="902" spans="1:14" x14ac:dyDescent="0.25">
      <c r="A902">
        <v>901</v>
      </c>
      <c r="B902" s="1" t="s">
        <v>13</v>
      </c>
      <c r="C902">
        <v>59</v>
      </c>
      <c r="D902" s="1" t="s">
        <v>21</v>
      </c>
      <c r="E902" s="1" t="s">
        <v>27</v>
      </c>
      <c r="F902" s="1" t="s">
        <v>28</v>
      </c>
      <c r="G902" s="2">
        <v>45139</v>
      </c>
      <c r="H902">
        <v>8</v>
      </c>
      <c r="I902">
        <v>11782</v>
      </c>
      <c r="J902" s="1" t="s">
        <v>24</v>
      </c>
      <c r="K902">
        <v>2023</v>
      </c>
      <c r="L902" t="s">
        <v>47</v>
      </c>
      <c r="M902" t="s">
        <v>38</v>
      </c>
      <c r="N902">
        <v>8</v>
      </c>
    </row>
    <row r="903" spans="1:14" x14ac:dyDescent="0.25">
      <c r="A903">
        <v>902</v>
      </c>
      <c r="B903" s="1" t="s">
        <v>20</v>
      </c>
      <c r="C903">
        <v>59</v>
      </c>
      <c r="D903" s="1" t="s">
        <v>34</v>
      </c>
      <c r="E903" s="1" t="s">
        <v>31</v>
      </c>
      <c r="F903" s="1" t="s">
        <v>23</v>
      </c>
      <c r="G903" s="2">
        <v>45037</v>
      </c>
      <c r="H903">
        <v>1</v>
      </c>
      <c r="I903">
        <v>40650</v>
      </c>
      <c r="J903" s="1" t="s">
        <v>39</v>
      </c>
      <c r="K903">
        <v>2023</v>
      </c>
      <c r="L903" t="s">
        <v>33</v>
      </c>
      <c r="M903" t="s">
        <v>38</v>
      </c>
      <c r="N903">
        <v>4</v>
      </c>
    </row>
    <row r="904" spans="1:14" x14ac:dyDescent="0.25">
      <c r="A904">
        <v>903</v>
      </c>
      <c r="B904" s="1" t="s">
        <v>20</v>
      </c>
      <c r="C904">
        <v>48</v>
      </c>
      <c r="D904" s="1" t="s">
        <v>21</v>
      </c>
      <c r="E904" s="1" t="s">
        <v>27</v>
      </c>
      <c r="F904" s="1" t="s">
        <v>23</v>
      </c>
      <c r="G904" s="2">
        <v>45049</v>
      </c>
      <c r="H904">
        <v>5</v>
      </c>
      <c r="I904">
        <v>24366</v>
      </c>
      <c r="J904" s="1" t="s">
        <v>24</v>
      </c>
      <c r="K904">
        <v>2023</v>
      </c>
      <c r="L904" t="s">
        <v>42</v>
      </c>
      <c r="M904" t="s">
        <v>38</v>
      </c>
      <c r="N904">
        <v>5</v>
      </c>
    </row>
    <row r="905" spans="1:14" x14ac:dyDescent="0.25">
      <c r="A905">
        <v>904</v>
      </c>
      <c r="B905" s="1" t="s">
        <v>13</v>
      </c>
      <c r="C905">
        <v>41</v>
      </c>
      <c r="D905" s="1" t="s">
        <v>21</v>
      </c>
      <c r="E905" s="1" t="s">
        <v>22</v>
      </c>
      <c r="F905" s="1" t="s">
        <v>28</v>
      </c>
      <c r="G905" s="2">
        <v>45212</v>
      </c>
      <c r="H905">
        <v>3</v>
      </c>
      <c r="I905">
        <v>30557</v>
      </c>
      <c r="J905" s="1" t="s">
        <v>24</v>
      </c>
      <c r="K905">
        <v>2023</v>
      </c>
      <c r="L905" t="s">
        <v>41</v>
      </c>
      <c r="M905" t="s">
        <v>38</v>
      </c>
      <c r="N905">
        <v>10</v>
      </c>
    </row>
    <row r="906" spans="1:14" x14ac:dyDescent="0.25">
      <c r="A906">
        <v>905</v>
      </c>
      <c r="B906" s="1" t="s">
        <v>13</v>
      </c>
      <c r="C906">
        <v>13</v>
      </c>
      <c r="D906" s="1" t="s">
        <v>45</v>
      </c>
      <c r="E906" s="1" t="s">
        <v>35</v>
      </c>
      <c r="F906" s="1" t="s">
        <v>23</v>
      </c>
      <c r="G906" s="2">
        <v>45017</v>
      </c>
      <c r="H906">
        <v>2</v>
      </c>
      <c r="I906">
        <v>7798</v>
      </c>
      <c r="J906" s="1" t="s">
        <v>39</v>
      </c>
      <c r="K906">
        <v>2023</v>
      </c>
      <c r="L906" t="s">
        <v>33</v>
      </c>
      <c r="M906" t="s">
        <v>25</v>
      </c>
      <c r="N906">
        <v>4</v>
      </c>
    </row>
    <row r="907" spans="1:14" x14ac:dyDescent="0.25">
      <c r="A907">
        <v>906</v>
      </c>
      <c r="B907" s="1" t="s">
        <v>20</v>
      </c>
      <c r="C907">
        <v>45</v>
      </c>
      <c r="D907" s="1" t="s">
        <v>37</v>
      </c>
      <c r="E907" s="1" t="s">
        <v>31</v>
      </c>
      <c r="F907" s="1" t="s">
        <v>28</v>
      </c>
      <c r="G907" s="2">
        <v>45292</v>
      </c>
      <c r="H907">
        <v>8</v>
      </c>
      <c r="I907">
        <v>11627</v>
      </c>
      <c r="J907" s="1" t="s">
        <v>24</v>
      </c>
      <c r="K907">
        <v>2024</v>
      </c>
      <c r="L907" t="s">
        <v>48</v>
      </c>
      <c r="M907" t="s">
        <v>38</v>
      </c>
      <c r="N907">
        <v>1</v>
      </c>
    </row>
    <row r="908" spans="1:14" x14ac:dyDescent="0.25">
      <c r="A908">
        <v>907</v>
      </c>
      <c r="B908" s="1" t="s">
        <v>20</v>
      </c>
      <c r="C908">
        <v>89</v>
      </c>
      <c r="D908" s="1" t="s">
        <v>37</v>
      </c>
      <c r="E908" s="1" t="s">
        <v>35</v>
      </c>
      <c r="F908" s="1" t="s">
        <v>16</v>
      </c>
      <c r="G908" s="2">
        <v>44931</v>
      </c>
      <c r="H908">
        <v>3</v>
      </c>
      <c r="I908">
        <v>43183</v>
      </c>
      <c r="J908" s="1" t="s">
        <v>24</v>
      </c>
      <c r="K908">
        <v>2023</v>
      </c>
      <c r="L908" t="s">
        <v>48</v>
      </c>
      <c r="M908" t="s">
        <v>19</v>
      </c>
      <c r="N908">
        <v>1</v>
      </c>
    </row>
    <row r="909" spans="1:14" x14ac:dyDescent="0.25">
      <c r="A909">
        <v>908</v>
      </c>
      <c r="B909" s="1" t="s">
        <v>13</v>
      </c>
      <c r="C909">
        <v>53</v>
      </c>
      <c r="D909" s="1" t="s">
        <v>14</v>
      </c>
      <c r="E909" s="1" t="s">
        <v>35</v>
      </c>
      <c r="F909" s="1" t="s">
        <v>16</v>
      </c>
      <c r="G909" s="2">
        <v>45040</v>
      </c>
      <c r="H909">
        <v>7</v>
      </c>
      <c r="I909">
        <v>14466</v>
      </c>
      <c r="J909" s="1" t="s">
        <v>24</v>
      </c>
      <c r="K909">
        <v>2023</v>
      </c>
      <c r="L909" t="s">
        <v>33</v>
      </c>
      <c r="M909" t="s">
        <v>38</v>
      </c>
      <c r="N909">
        <v>4</v>
      </c>
    </row>
    <row r="910" spans="1:14" x14ac:dyDescent="0.25">
      <c r="A910">
        <v>909</v>
      </c>
      <c r="B910" s="1" t="s">
        <v>13</v>
      </c>
      <c r="C910">
        <v>42</v>
      </c>
      <c r="D910" s="1" t="s">
        <v>14</v>
      </c>
      <c r="E910" s="1" t="s">
        <v>35</v>
      </c>
      <c r="F910" s="1" t="s">
        <v>32</v>
      </c>
      <c r="G910" s="2">
        <v>44977</v>
      </c>
      <c r="H910">
        <v>12</v>
      </c>
      <c r="I910">
        <v>44614</v>
      </c>
      <c r="J910" s="1" t="s">
        <v>24</v>
      </c>
      <c r="K910">
        <v>2023</v>
      </c>
      <c r="L910" t="s">
        <v>46</v>
      </c>
      <c r="M910" t="s">
        <v>38</v>
      </c>
      <c r="N910">
        <v>2</v>
      </c>
    </row>
    <row r="911" spans="1:14" x14ac:dyDescent="0.25">
      <c r="A911">
        <v>910</v>
      </c>
      <c r="B911" s="1" t="s">
        <v>20</v>
      </c>
      <c r="C911">
        <v>63</v>
      </c>
      <c r="D911" s="1" t="s">
        <v>45</v>
      </c>
      <c r="E911" s="1" t="s">
        <v>22</v>
      </c>
      <c r="F911" s="1" t="s">
        <v>16</v>
      </c>
      <c r="G911" s="2">
        <v>45098</v>
      </c>
      <c r="H911">
        <v>11</v>
      </c>
      <c r="I911">
        <v>14720</v>
      </c>
      <c r="J911" s="1" t="s">
        <v>39</v>
      </c>
      <c r="K911">
        <v>2023</v>
      </c>
      <c r="L911" t="s">
        <v>40</v>
      </c>
      <c r="M911" t="s">
        <v>19</v>
      </c>
      <c r="N911">
        <v>6</v>
      </c>
    </row>
    <row r="912" spans="1:14" x14ac:dyDescent="0.25">
      <c r="A912">
        <v>911</v>
      </c>
      <c r="B912" s="1" t="s">
        <v>13</v>
      </c>
      <c r="C912">
        <v>27</v>
      </c>
      <c r="D912" s="1" t="s">
        <v>14</v>
      </c>
      <c r="E912" s="1" t="s">
        <v>15</v>
      </c>
      <c r="F912" s="1" t="s">
        <v>28</v>
      </c>
      <c r="G912" s="2">
        <v>45237</v>
      </c>
      <c r="H912">
        <v>1</v>
      </c>
      <c r="I912">
        <v>43913</v>
      </c>
      <c r="J912" s="1" t="s">
        <v>24</v>
      </c>
      <c r="K912">
        <v>2023</v>
      </c>
      <c r="L912" t="s">
        <v>18</v>
      </c>
      <c r="M912" t="s">
        <v>29</v>
      </c>
      <c r="N912">
        <v>11</v>
      </c>
    </row>
    <row r="913" spans="1:14" x14ac:dyDescent="0.25">
      <c r="A913">
        <v>912</v>
      </c>
      <c r="B913" s="1" t="s">
        <v>13</v>
      </c>
      <c r="C913">
        <v>38</v>
      </c>
      <c r="D913" s="1" t="s">
        <v>34</v>
      </c>
      <c r="E913" s="1" t="s">
        <v>31</v>
      </c>
      <c r="F913" s="1" t="s">
        <v>23</v>
      </c>
      <c r="G913" s="2">
        <v>44953</v>
      </c>
      <c r="H913">
        <v>6</v>
      </c>
      <c r="I913">
        <v>39292</v>
      </c>
      <c r="J913" s="1" t="s">
        <v>39</v>
      </c>
      <c r="K913">
        <v>2023</v>
      </c>
      <c r="L913" t="s">
        <v>48</v>
      </c>
      <c r="M913" t="s">
        <v>29</v>
      </c>
      <c r="N913">
        <v>1</v>
      </c>
    </row>
    <row r="914" spans="1:14" x14ac:dyDescent="0.25">
      <c r="A914">
        <v>913</v>
      </c>
      <c r="B914" s="1" t="s">
        <v>13</v>
      </c>
      <c r="C914">
        <v>60</v>
      </c>
      <c r="D914" s="1" t="s">
        <v>30</v>
      </c>
      <c r="E914" s="1" t="s">
        <v>15</v>
      </c>
      <c r="F914" s="1" t="s">
        <v>32</v>
      </c>
      <c r="G914" s="2">
        <v>45261</v>
      </c>
      <c r="H914">
        <v>3</v>
      </c>
      <c r="I914">
        <v>8559</v>
      </c>
      <c r="J914" s="1" t="s">
        <v>24</v>
      </c>
      <c r="K914">
        <v>2023</v>
      </c>
      <c r="L914" t="s">
        <v>26</v>
      </c>
      <c r="M914" t="s">
        <v>19</v>
      </c>
      <c r="N914">
        <v>12</v>
      </c>
    </row>
    <row r="915" spans="1:14" x14ac:dyDescent="0.25">
      <c r="A915">
        <v>914</v>
      </c>
      <c r="B915" s="1" t="s">
        <v>20</v>
      </c>
      <c r="C915">
        <v>7</v>
      </c>
      <c r="D915" s="1" t="s">
        <v>30</v>
      </c>
      <c r="E915" s="1" t="s">
        <v>15</v>
      </c>
      <c r="F915" s="1" t="s">
        <v>23</v>
      </c>
      <c r="G915" s="2">
        <v>45191</v>
      </c>
      <c r="H915">
        <v>8</v>
      </c>
      <c r="I915">
        <v>42388</v>
      </c>
      <c r="J915" s="1" t="s">
        <v>24</v>
      </c>
      <c r="K915">
        <v>2023</v>
      </c>
      <c r="L915" t="s">
        <v>44</v>
      </c>
      <c r="M915" t="s">
        <v>25</v>
      </c>
      <c r="N915">
        <v>9</v>
      </c>
    </row>
    <row r="916" spans="1:14" x14ac:dyDescent="0.25">
      <c r="A916">
        <v>915</v>
      </c>
      <c r="B916" s="1" t="s">
        <v>20</v>
      </c>
      <c r="C916">
        <v>5</v>
      </c>
      <c r="D916" s="1" t="s">
        <v>30</v>
      </c>
      <c r="E916" s="1" t="s">
        <v>15</v>
      </c>
      <c r="F916" s="1" t="s">
        <v>28</v>
      </c>
      <c r="G916" s="2">
        <v>44982</v>
      </c>
      <c r="H916">
        <v>6</v>
      </c>
      <c r="I916">
        <v>21158</v>
      </c>
      <c r="J916" s="1" t="s">
        <v>24</v>
      </c>
      <c r="K916">
        <v>2023</v>
      </c>
      <c r="L916" t="s">
        <v>46</v>
      </c>
      <c r="M916" t="s">
        <v>25</v>
      </c>
      <c r="N916">
        <v>2</v>
      </c>
    </row>
    <row r="917" spans="1:14" x14ac:dyDescent="0.25">
      <c r="A917">
        <v>916</v>
      </c>
      <c r="B917" s="1" t="s">
        <v>20</v>
      </c>
      <c r="C917">
        <v>45</v>
      </c>
      <c r="D917" s="1" t="s">
        <v>45</v>
      </c>
      <c r="E917" s="1" t="s">
        <v>35</v>
      </c>
      <c r="F917" s="1" t="s">
        <v>16</v>
      </c>
      <c r="G917" s="2">
        <v>45242</v>
      </c>
      <c r="H917">
        <v>12</v>
      </c>
      <c r="I917">
        <v>32916</v>
      </c>
      <c r="J917" s="1" t="s">
        <v>39</v>
      </c>
      <c r="K917">
        <v>2023</v>
      </c>
      <c r="L917" t="s">
        <v>18</v>
      </c>
      <c r="M917" t="s">
        <v>38</v>
      </c>
      <c r="N917">
        <v>11</v>
      </c>
    </row>
    <row r="918" spans="1:14" x14ac:dyDescent="0.25">
      <c r="A918">
        <v>917</v>
      </c>
      <c r="B918" s="1" t="s">
        <v>20</v>
      </c>
      <c r="C918">
        <v>58</v>
      </c>
      <c r="D918" s="1" t="s">
        <v>45</v>
      </c>
      <c r="E918" s="1" t="s">
        <v>27</v>
      </c>
      <c r="F918" s="1" t="s">
        <v>32</v>
      </c>
      <c r="G918" s="2">
        <v>45212</v>
      </c>
      <c r="H918">
        <v>2</v>
      </c>
      <c r="I918">
        <v>24057</v>
      </c>
      <c r="J918" s="1" t="s">
        <v>24</v>
      </c>
      <c r="K918">
        <v>2023</v>
      </c>
      <c r="L918" t="s">
        <v>41</v>
      </c>
      <c r="M918" t="s">
        <v>38</v>
      </c>
      <c r="N918">
        <v>10</v>
      </c>
    </row>
    <row r="919" spans="1:14" x14ac:dyDescent="0.25">
      <c r="A919">
        <v>918</v>
      </c>
      <c r="B919" s="1" t="s">
        <v>20</v>
      </c>
      <c r="C919">
        <v>31</v>
      </c>
      <c r="D919" s="1" t="s">
        <v>21</v>
      </c>
      <c r="E919" s="1" t="s">
        <v>35</v>
      </c>
      <c r="F919" s="1" t="s">
        <v>28</v>
      </c>
      <c r="G919" s="2">
        <v>44951</v>
      </c>
      <c r="H919">
        <v>6</v>
      </c>
      <c r="I919">
        <v>37892</v>
      </c>
      <c r="J919" s="1" t="s">
        <v>17</v>
      </c>
      <c r="K919">
        <v>2023</v>
      </c>
      <c r="L919" t="s">
        <v>48</v>
      </c>
      <c r="M919" t="s">
        <v>29</v>
      </c>
      <c r="N919">
        <v>1</v>
      </c>
    </row>
    <row r="920" spans="1:14" x14ac:dyDescent="0.25">
      <c r="A920">
        <v>919</v>
      </c>
      <c r="B920" s="1" t="s">
        <v>20</v>
      </c>
      <c r="C920">
        <v>23</v>
      </c>
      <c r="D920" s="1" t="s">
        <v>30</v>
      </c>
      <c r="E920" s="1" t="s">
        <v>35</v>
      </c>
      <c r="F920" s="1" t="s">
        <v>32</v>
      </c>
      <c r="G920" s="2">
        <v>44930</v>
      </c>
      <c r="H920">
        <v>7</v>
      </c>
      <c r="I920">
        <v>43439</v>
      </c>
      <c r="J920" s="1" t="s">
        <v>24</v>
      </c>
      <c r="K920">
        <v>2023</v>
      </c>
      <c r="L920" t="s">
        <v>48</v>
      </c>
      <c r="M920" t="s">
        <v>29</v>
      </c>
      <c r="N920">
        <v>1</v>
      </c>
    </row>
    <row r="921" spans="1:14" x14ac:dyDescent="0.25">
      <c r="A921">
        <v>920</v>
      </c>
      <c r="B921" s="1" t="s">
        <v>20</v>
      </c>
      <c r="C921">
        <v>42</v>
      </c>
      <c r="D921" s="1" t="s">
        <v>34</v>
      </c>
      <c r="E921" s="1" t="s">
        <v>15</v>
      </c>
      <c r="F921" s="1" t="s">
        <v>32</v>
      </c>
      <c r="G921" s="2">
        <v>45196</v>
      </c>
      <c r="H921">
        <v>5</v>
      </c>
      <c r="I921">
        <v>13706</v>
      </c>
      <c r="J921" s="1" t="s">
        <v>24</v>
      </c>
      <c r="K921">
        <v>2023</v>
      </c>
      <c r="L921" t="s">
        <v>44</v>
      </c>
      <c r="M921" t="s">
        <v>38</v>
      </c>
      <c r="N921">
        <v>9</v>
      </c>
    </row>
    <row r="922" spans="1:14" x14ac:dyDescent="0.25">
      <c r="A922">
        <v>921</v>
      </c>
      <c r="B922" s="1" t="s">
        <v>13</v>
      </c>
      <c r="C922">
        <v>10</v>
      </c>
      <c r="D922" s="1" t="s">
        <v>14</v>
      </c>
      <c r="E922" s="1" t="s">
        <v>35</v>
      </c>
      <c r="F922" s="1" t="s">
        <v>16</v>
      </c>
      <c r="G922" s="2">
        <v>45122</v>
      </c>
      <c r="H922">
        <v>3</v>
      </c>
      <c r="I922">
        <v>14070</v>
      </c>
      <c r="J922" s="1" t="s">
        <v>24</v>
      </c>
      <c r="K922">
        <v>2023</v>
      </c>
      <c r="L922" t="s">
        <v>36</v>
      </c>
      <c r="M922" t="s">
        <v>25</v>
      </c>
      <c r="N922">
        <v>7</v>
      </c>
    </row>
    <row r="923" spans="1:14" x14ac:dyDescent="0.25">
      <c r="A923">
        <v>922</v>
      </c>
      <c r="B923" s="1" t="s">
        <v>13</v>
      </c>
      <c r="C923">
        <v>32</v>
      </c>
      <c r="D923" s="1" t="s">
        <v>34</v>
      </c>
      <c r="E923" s="1" t="s">
        <v>15</v>
      </c>
      <c r="F923" s="1" t="s">
        <v>28</v>
      </c>
      <c r="G923" s="2">
        <v>45197</v>
      </c>
      <c r="H923">
        <v>4</v>
      </c>
      <c r="I923">
        <v>42902</v>
      </c>
      <c r="J923" s="1" t="s">
        <v>17</v>
      </c>
      <c r="K923">
        <v>2023</v>
      </c>
      <c r="L923" t="s">
        <v>44</v>
      </c>
      <c r="M923" t="s">
        <v>29</v>
      </c>
      <c r="N923">
        <v>9</v>
      </c>
    </row>
    <row r="924" spans="1:14" x14ac:dyDescent="0.25">
      <c r="A924">
        <v>923</v>
      </c>
      <c r="B924" s="1" t="s">
        <v>13</v>
      </c>
      <c r="C924">
        <v>53</v>
      </c>
      <c r="D924" s="1" t="s">
        <v>14</v>
      </c>
      <c r="E924" s="1" t="s">
        <v>27</v>
      </c>
      <c r="F924" s="1" t="s">
        <v>23</v>
      </c>
      <c r="G924" s="2">
        <v>44992</v>
      </c>
      <c r="H924">
        <v>4</v>
      </c>
      <c r="I924">
        <v>2924</v>
      </c>
      <c r="J924" s="1" t="s">
        <v>39</v>
      </c>
      <c r="K924">
        <v>2023</v>
      </c>
      <c r="L924" t="s">
        <v>43</v>
      </c>
      <c r="M924" t="s">
        <v>38</v>
      </c>
      <c r="N924">
        <v>3</v>
      </c>
    </row>
    <row r="925" spans="1:14" x14ac:dyDescent="0.25">
      <c r="A925">
        <v>924</v>
      </c>
      <c r="B925" s="1" t="s">
        <v>13</v>
      </c>
      <c r="C925">
        <v>30</v>
      </c>
      <c r="D925" s="1" t="s">
        <v>30</v>
      </c>
      <c r="E925" s="1" t="s">
        <v>31</v>
      </c>
      <c r="F925" s="1" t="s">
        <v>32</v>
      </c>
      <c r="G925" s="2">
        <v>45090</v>
      </c>
      <c r="H925">
        <v>6</v>
      </c>
      <c r="I925">
        <v>28478</v>
      </c>
      <c r="J925" s="1" t="s">
        <v>24</v>
      </c>
      <c r="K925">
        <v>2023</v>
      </c>
      <c r="L925" t="s">
        <v>40</v>
      </c>
      <c r="M925" t="s">
        <v>29</v>
      </c>
      <c r="N925">
        <v>6</v>
      </c>
    </row>
    <row r="926" spans="1:14" x14ac:dyDescent="0.25">
      <c r="A926">
        <v>925</v>
      </c>
      <c r="B926" s="1" t="s">
        <v>13</v>
      </c>
      <c r="C926">
        <v>39</v>
      </c>
      <c r="D926" s="1" t="s">
        <v>30</v>
      </c>
      <c r="E926" s="1" t="s">
        <v>15</v>
      </c>
      <c r="F926" s="1" t="s">
        <v>32</v>
      </c>
      <c r="G926" s="2">
        <v>45041</v>
      </c>
      <c r="H926">
        <v>10</v>
      </c>
      <c r="I926">
        <v>7506</v>
      </c>
      <c r="J926" s="1" t="s">
        <v>24</v>
      </c>
      <c r="K926">
        <v>2023</v>
      </c>
      <c r="L926" t="s">
        <v>33</v>
      </c>
      <c r="M926" t="s">
        <v>29</v>
      </c>
      <c r="N926">
        <v>4</v>
      </c>
    </row>
    <row r="927" spans="1:14" x14ac:dyDescent="0.25">
      <c r="A927">
        <v>926</v>
      </c>
      <c r="B927" s="1" t="s">
        <v>13</v>
      </c>
      <c r="C927">
        <v>31</v>
      </c>
      <c r="D927" s="1" t="s">
        <v>30</v>
      </c>
      <c r="E927" s="1" t="s">
        <v>27</v>
      </c>
      <c r="F927" s="1" t="s">
        <v>23</v>
      </c>
      <c r="G927" s="2">
        <v>44964</v>
      </c>
      <c r="H927">
        <v>1</v>
      </c>
      <c r="I927">
        <v>48418</v>
      </c>
      <c r="J927" s="1" t="s">
        <v>24</v>
      </c>
      <c r="K927">
        <v>2023</v>
      </c>
      <c r="L927" t="s">
        <v>46</v>
      </c>
      <c r="M927" t="s">
        <v>29</v>
      </c>
      <c r="N927">
        <v>2</v>
      </c>
    </row>
    <row r="928" spans="1:14" x14ac:dyDescent="0.25">
      <c r="A928">
        <v>927</v>
      </c>
      <c r="B928" s="1" t="s">
        <v>13</v>
      </c>
      <c r="C928">
        <v>82</v>
      </c>
      <c r="D928" s="1" t="s">
        <v>45</v>
      </c>
      <c r="E928" s="1" t="s">
        <v>31</v>
      </c>
      <c r="F928" s="1" t="s">
        <v>28</v>
      </c>
      <c r="G928" s="2">
        <v>45104</v>
      </c>
      <c r="H928">
        <v>11</v>
      </c>
      <c r="I928">
        <v>37163</v>
      </c>
      <c r="J928" s="1" t="s">
        <v>39</v>
      </c>
      <c r="K928">
        <v>2023</v>
      </c>
      <c r="L928" t="s">
        <v>40</v>
      </c>
      <c r="M928" t="s">
        <v>19</v>
      </c>
      <c r="N928">
        <v>6</v>
      </c>
    </row>
    <row r="929" spans="1:14" x14ac:dyDescent="0.25">
      <c r="A929">
        <v>928</v>
      </c>
      <c r="B929" s="1" t="s">
        <v>20</v>
      </c>
      <c r="C929">
        <v>2</v>
      </c>
      <c r="D929" s="1" t="s">
        <v>14</v>
      </c>
      <c r="E929" s="1" t="s">
        <v>22</v>
      </c>
      <c r="F929" s="1" t="s">
        <v>32</v>
      </c>
      <c r="G929" s="2">
        <v>45167</v>
      </c>
      <c r="H929">
        <v>4</v>
      </c>
      <c r="I929">
        <v>26604</v>
      </c>
      <c r="J929" s="1" t="s">
        <v>24</v>
      </c>
      <c r="K929">
        <v>2023</v>
      </c>
      <c r="L929" t="s">
        <v>47</v>
      </c>
      <c r="M929" t="s">
        <v>25</v>
      </c>
      <c r="N929">
        <v>8</v>
      </c>
    </row>
    <row r="930" spans="1:14" x14ac:dyDescent="0.25">
      <c r="A930">
        <v>929</v>
      </c>
      <c r="B930" s="1" t="s">
        <v>20</v>
      </c>
      <c r="C930">
        <v>78</v>
      </c>
      <c r="D930" s="1" t="s">
        <v>45</v>
      </c>
      <c r="E930" s="1" t="s">
        <v>15</v>
      </c>
      <c r="F930" s="1" t="s">
        <v>32</v>
      </c>
      <c r="G930" s="2">
        <v>45016</v>
      </c>
      <c r="H930">
        <v>10</v>
      </c>
      <c r="I930">
        <v>17310</v>
      </c>
      <c r="J930" s="1" t="s">
        <v>39</v>
      </c>
      <c r="K930">
        <v>2023</v>
      </c>
      <c r="L930" t="s">
        <v>43</v>
      </c>
      <c r="M930" t="s">
        <v>19</v>
      </c>
      <c r="N930">
        <v>3</v>
      </c>
    </row>
    <row r="931" spans="1:14" x14ac:dyDescent="0.25">
      <c r="A931">
        <v>930</v>
      </c>
      <c r="B931" s="1" t="s">
        <v>13</v>
      </c>
      <c r="C931">
        <v>77</v>
      </c>
      <c r="D931" s="1" t="s">
        <v>45</v>
      </c>
      <c r="E931" s="1" t="s">
        <v>15</v>
      </c>
      <c r="F931" s="1" t="s">
        <v>32</v>
      </c>
      <c r="G931" s="2">
        <v>45028</v>
      </c>
      <c r="H931">
        <v>13</v>
      </c>
      <c r="I931">
        <v>10226</v>
      </c>
      <c r="J931" s="1" t="s">
        <v>17</v>
      </c>
      <c r="K931">
        <v>2023</v>
      </c>
      <c r="L931" t="s">
        <v>33</v>
      </c>
      <c r="M931" t="s">
        <v>19</v>
      </c>
      <c r="N931">
        <v>4</v>
      </c>
    </row>
    <row r="932" spans="1:14" x14ac:dyDescent="0.25">
      <c r="A932">
        <v>931</v>
      </c>
      <c r="B932" s="1" t="s">
        <v>13</v>
      </c>
      <c r="C932">
        <v>12</v>
      </c>
      <c r="D932" s="1" t="s">
        <v>37</v>
      </c>
      <c r="E932" s="1" t="s">
        <v>22</v>
      </c>
      <c r="F932" s="1" t="s">
        <v>28</v>
      </c>
      <c r="G932" s="2">
        <v>44975</v>
      </c>
      <c r="H932">
        <v>4</v>
      </c>
      <c r="I932">
        <v>13781</v>
      </c>
      <c r="J932" s="1" t="s">
        <v>24</v>
      </c>
      <c r="K932">
        <v>2023</v>
      </c>
      <c r="L932" t="s">
        <v>46</v>
      </c>
      <c r="M932" t="s">
        <v>25</v>
      </c>
      <c r="N932">
        <v>2</v>
      </c>
    </row>
    <row r="933" spans="1:14" x14ac:dyDescent="0.25">
      <c r="A933">
        <v>932</v>
      </c>
      <c r="B933" s="1" t="s">
        <v>20</v>
      </c>
      <c r="C933">
        <v>39</v>
      </c>
      <c r="D933" s="1" t="s">
        <v>34</v>
      </c>
      <c r="E933" s="1" t="s">
        <v>22</v>
      </c>
      <c r="F933" s="1" t="s">
        <v>28</v>
      </c>
      <c r="G933" s="2">
        <v>45200</v>
      </c>
      <c r="H933">
        <v>10</v>
      </c>
      <c r="I933">
        <v>7515</v>
      </c>
      <c r="J933" s="1" t="s">
        <v>39</v>
      </c>
      <c r="K933">
        <v>2023</v>
      </c>
      <c r="L933" t="s">
        <v>41</v>
      </c>
      <c r="M933" t="s">
        <v>29</v>
      </c>
      <c r="N933">
        <v>10</v>
      </c>
    </row>
    <row r="934" spans="1:14" x14ac:dyDescent="0.25">
      <c r="A934">
        <v>933</v>
      </c>
      <c r="B934" s="1" t="s">
        <v>13</v>
      </c>
      <c r="C934">
        <v>66</v>
      </c>
      <c r="D934" s="1" t="s">
        <v>34</v>
      </c>
      <c r="E934" s="1" t="s">
        <v>15</v>
      </c>
      <c r="F934" s="1" t="s">
        <v>23</v>
      </c>
      <c r="G934" s="2">
        <v>45254</v>
      </c>
      <c r="H934">
        <v>1</v>
      </c>
      <c r="I934">
        <v>38133</v>
      </c>
      <c r="J934" s="1" t="s">
        <v>24</v>
      </c>
      <c r="K934">
        <v>2023</v>
      </c>
      <c r="L934" t="s">
        <v>18</v>
      </c>
      <c r="M934" t="s">
        <v>19</v>
      </c>
      <c r="N934">
        <v>11</v>
      </c>
    </row>
    <row r="935" spans="1:14" x14ac:dyDescent="0.25">
      <c r="A935">
        <v>934</v>
      </c>
      <c r="B935" s="1" t="s">
        <v>13</v>
      </c>
      <c r="C935">
        <v>13</v>
      </c>
      <c r="D935" s="1" t="s">
        <v>21</v>
      </c>
      <c r="E935" s="1" t="s">
        <v>22</v>
      </c>
      <c r="F935" s="1" t="s">
        <v>28</v>
      </c>
      <c r="G935" s="2">
        <v>45102</v>
      </c>
      <c r="H935">
        <v>9</v>
      </c>
      <c r="I935">
        <v>18972</v>
      </c>
      <c r="J935" s="1" t="s">
        <v>24</v>
      </c>
      <c r="K935">
        <v>2023</v>
      </c>
      <c r="L935" t="s">
        <v>40</v>
      </c>
      <c r="M935" t="s">
        <v>25</v>
      </c>
      <c r="N935">
        <v>6</v>
      </c>
    </row>
    <row r="936" spans="1:14" x14ac:dyDescent="0.25">
      <c r="A936">
        <v>935</v>
      </c>
      <c r="B936" s="1" t="s">
        <v>20</v>
      </c>
      <c r="C936">
        <v>46</v>
      </c>
      <c r="D936" s="1" t="s">
        <v>45</v>
      </c>
      <c r="E936" s="1" t="s">
        <v>35</v>
      </c>
      <c r="F936" s="1" t="s">
        <v>28</v>
      </c>
      <c r="G936" s="2">
        <v>45027</v>
      </c>
      <c r="H936">
        <v>4</v>
      </c>
      <c r="I936">
        <v>34092</v>
      </c>
      <c r="J936" s="1" t="s">
        <v>24</v>
      </c>
      <c r="K936">
        <v>2023</v>
      </c>
      <c r="L936" t="s">
        <v>33</v>
      </c>
      <c r="M936" t="s">
        <v>38</v>
      </c>
      <c r="N936">
        <v>4</v>
      </c>
    </row>
    <row r="937" spans="1:14" x14ac:dyDescent="0.25">
      <c r="A937">
        <v>936</v>
      </c>
      <c r="B937" s="1" t="s">
        <v>13</v>
      </c>
      <c r="C937">
        <v>27</v>
      </c>
      <c r="D937" s="1" t="s">
        <v>14</v>
      </c>
      <c r="E937" s="1" t="s">
        <v>31</v>
      </c>
      <c r="F937" s="1" t="s">
        <v>16</v>
      </c>
      <c r="G937" s="2">
        <v>45038</v>
      </c>
      <c r="H937">
        <v>7</v>
      </c>
      <c r="I937">
        <v>13410</v>
      </c>
      <c r="J937" s="1" t="s">
        <v>24</v>
      </c>
      <c r="K937">
        <v>2023</v>
      </c>
      <c r="L937" t="s">
        <v>33</v>
      </c>
      <c r="M937" t="s">
        <v>29</v>
      </c>
      <c r="N937">
        <v>4</v>
      </c>
    </row>
    <row r="938" spans="1:14" x14ac:dyDescent="0.25">
      <c r="A938">
        <v>937</v>
      </c>
      <c r="B938" s="1" t="s">
        <v>20</v>
      </c>
      <c r="C938">
        <v>17</v>
      </c>
      <c r="D938" s="1" t="s">
        <v>37</v>
      </c>
      <c r="E938" s="1" t="s">
        <v>31</v>
      </c>
      <c r="F938" s="1" t="s">
        <v>23</v>
      </c>
      <c r="G938" s="2">
        <v>45115</v>
      </c>
      <c r="H938">
        <v>12</v>
      </c>
      <c r="I938">
        <v>21522</v>
      </c>
      <c r="J938" s="1" t="s">
        <v>39</v>
      </c>
      <c r="K938">
        <v>2023</v>
      </c>
      <c r="L938" t="s">
        <v>36</v>
      </c>
      <c r="M938" t="s">
        <v>25</v>
      </c>
      <c r="N938">
        <v>7</v>
      </c>
    </row>
    <row r="939" spans="1:14" x14ac:dyDescent="0.25">
      <c r="A939">
        <v>938</v>
      </c>
      <c r="B939" s="1" t="s">
        <v>13</v>
      </c>
      <c r="C939">
        <v>60</v>
      </c>
      <c r="D939" s="1" t="s">
        <v>37</v>
      </c>
      <c r="E939" s="1" t="s">
        <v>31</v>
      </c>
      <c r="F939" s="1" t="s">
        <v>32</v>
      </c>
      <c r="G939" s="2">
        <v>45130</v>
      </c>
      <c r="H939">
        <v>14</v>
      </c>
      <c r="I939">
        <v>11095</v>
      </c>
      <c r="J939" s="1" t="s">
        <v>24</v>
      </c>
      <c r="K939">
        <v>2023</v>
      </c>
      <c r="L939" t="s">
        <v>36</v>
      </c>
      <c r="M939" t="s">
        <v>19</v>
      </c>
      <c r="N939">
        <v>7</v>
      </c>
    </row>
    <row r="940" spans="1:14" x14ac:dyDescent="0.25">
      <c r="A940">
        <v>939</v>
      </c>
      <c r="B940" s="1" t="s">
        <v>20</v>
      </c>
      <c r="C940">
        <v>64</v>
      </c>
      <c r="D940" s="1" t="s">
        <v>34</v>
      </c>
      <c r="E940" s="1" t="s">
        <v>35</v>
      </c>
      <c r="F940" s="1" t="s">
        <v>28</v>
      </c>
      <c r="G940" s="2">
        <v>45288</v>
      </c>
      <c r="H940">
        <v>3</v>
      </c>
      <c r="I940">
        <v>25047</v>
      </c>
      <c r="J940" s="1" t="s">
        <v>24</v>
      </c>
      <c r="K940">
        <v>2023</v>
      </c>
      <c r="L940" t="s">
        <v>26</v>
      </c>
      <c r="M940" t="s">
        <v>19</v>
      </c>
      <c r="N940">
        <v>12</v>
      </c>
    </row>
    <row r="941" spans="1:14" x14ac:dyDescent="0.25">
      <c r="A941">
        <v>940</v>
      </c>
      <c r="B941" s="1" t="s">
        <v>20</v>
      </c>
      <c r="C941">
        <v>88</v>
      </c>
      <c r="D941" s="1" t="s">
        <v>45</v>
      </c>
      <c r="E941" s="1" t="s">
        <v>22</v>
      </c>
      <c r="F941" s="1" t="s">
        <v>32</v>
      </c>
      <c r="G941" s="2">
        <v>45085</v>
      </c>
      <c r="H941">
        <v>10</v>
      </c>
      <c r="I941">
        <v>22470</v>
      </c>
      <c r="J941" s="1" t="s">
        <v>24</v>
      </c>
      <c r="K941">
        <v>2023</v>
      </c>
      <c r="L941" t="s">
        <v>40</v>
      </c>
      <c r="M941" t="s">
        <v>19</v>
      </c>
      <c r="N941">
        <v>6</v>
      </c>
    </row>
    <row r="942" spans="1:14" x14ac:dyDescent="0.25">
      <c r="A942">
        <v>941</v>
      </c>
      <c r="B942" s="1" t="s">
        <v>20</v>
      </c>
      <c r="C942">
        <v>35</v>
      </c>
      <c r="D942" s="1" t="s">
        <v>21</v>
      </c>
      <c r="E942" s="1" t="s">
        <v>27</v>
      </c>
      <c r="F942" s="1" t="s">
        <v>32</v>
      </c>
      <c r="G942" s="2">
        <v>45069</v>
      </c>
      <c r="H942">
        <v>12</v>
      </c>
      <c r="I942">
        <v>45129</v>
      </c>
      <c r="J942" s="1" t="s">
        <v>24</v>
      </c>
      <c r="K942">
        <v>2023</v>
      </c>
      <c r="L942" t="s">
        <v>42</v>
      </c>
      <c r="M942" t="s">
        <v>29</v>
      </c>
      <c r="N942">
        <v>5</v>
      </c>
    </row>
    <row r="943" spans="1:14" x14ac:dyDescent="0.25">
      <c r="A943">
        <v>942</v>
      </c>
      <c r="B943" s="1" t="s">
        <v>13</v>
      </c>
      <c r="C943">
        <v>70</v>
      </c>
      <c r="D943" s="1" t="s">
        <v>45</v>
      </c>
      <c r="E943" s="1" t="s">
        <v>22</v>
      </c>
      <c r="F943" s="1" t="s">
        <v>16</v>
      </c>
      <c r="G943" s="2">
        <v>44996</v>
      </c>
      <c r="H943">
        <v>3</v>
      </c>
      <c r="I943">
        <v>10531</v>
      </c>
      <c r="J943" s="1" t="s">
        <v>24</v>
      </c>
      <c r="K943">
        <v>2023</v>
      </c>
      <c r="L943" t="s">
        <v>43</v>
      </c>
      <c r="M943" t="s">
        <v>19</v>
      </c>
      <c r="N943">
        <v>3</v>
      </c>
    </row>
    <row r="944" spans="1:14" x14ac:dyDescent="0.25">
      <c r="A944">
        <v>943</v>
      </c>
      <c r="B944" s="1" t="s">
        <v>20</v>
      </c>
      <c r="C944">
        <v>83</v>
      </c>
      <c r="D944" s="1" t="s">
        <v>30</v>
      </c>
      <c r="E944" s="1" t="s">
        <v>15</v>
      </c>
      <c r="F944" s="1" t="s">
        <v>28</v>
      </c>
      <c r="G944" s="2">
        <v>45161</v>
      </c>
      <c r="H944">
        <v>14</v>
      </c>
      <c r="I944">
        <v>39038</v>
      </c>
      <c r="J944" s="1" t="s">
        <v>24</v>
      </c>
      <c r="K944">
        <v>2023</v>
      </c>
      <c r="L944" t="s">
        <v>47</v>
      </c>
      <c r="M944" t="s">
        <v>19</v>
      </c>
      <c r="N944">
        <v>8</v>
      </c>
    </row>
    <row r="945" spans="1:14" x14ac:dyDescent="0.25">
      <c r="A945">
        <v>944</v>
      </c>
      <c r="B945" s="1" t="s">
        <v>13</v>
      </c>
      <c r="C945">
        <v>30</v>
      </c>
      <c r="D945" s="1" t="s">
        <v>45</v>
      </c>
      <c r="E945" s="1" t="s">
        <v>31</v>
      </c>
      <c r="F945" s="1" t="s">
        <v>23</v>
      </c>
      <c r="G945" s="2">
        <v>45132</v>
      </c>
      <c r="H945">
        <v>8</v>
      </c>
      <c r="I945">
        <v>24403</v>
      </c>
      <c r="J945" s="1" t="s">
        <v>24</v>
      </c>
      <c r="K945">
        <v>2023</v>
      </c>
      <c r="L945" t="s">
        <v>36</v>
      </c>
      <c r="M945" t="s">
        <v>29</v>
      </c>
      <c r="N945">
        <v>7</v>
      </c>
    </row>
    <row r="946" spans="1:14" x14ac:dyDescent="0.25">
      <c r="A946">
        <v>945</v>
      </c>
      <c r="B946" s="1" t="s">
        <v>13</v>
      </c>
      <c r="C946">
        <v>71</v>
      </c>
      <c r="D946" s="1" t="s">
        <v>30</v>
      </c>
      <c r="E946" s="1" t="s">
        <v>22</v>
      </c>
      <c r="F946" s="1" t="s">
        <v>28</v>
      </c>
      <c r="G946" s="2">
        <v>44936</v>
      </c>
      <c r="H946">
        <v>8</v>
      </c>
      <c r="I946">
        <v>44674</v>
      </c>
      <c r="J946" s="1" t="s">
        <v>39</v>
      </c>
      <c r="K946">
        <v>2023</v>
      </c>
      <c r="L946" t="s">
        <v>48</v>
      </c>
      <c r="M946" t="s">
        <v>19</v>
      </c>
      <c r="N946">
        <v>1</v>
      </c>
    </row>
    <row r="947" spans="1:14" x14ac:dyDescent="0.25">
      <c r="A947">
        <v>946</v>
      </c>
      <c r="B947" s="1" t="s">
        <v>13</v>
      </c>
      <c r="C947">
        <v>74</v>
      </c>
      <c r="D947" s="1" t="s">
        <v>30</v>
      </c>
      <c r="E947" s="1" t="s">
        <v>27</v>
      </c>
      <c r="F947" s="1" t="s">
        <v>32</v>
      </c>
      <c r="G947" s="2">
        <v>45058</v>
      </c>
      <c r="H947">
        <v>11</v>
      </c>
      <c r="I947">
        <v>31122</v>
      </c>
      <c r="J947" s="1" t="s">
        <v>39</v>
      </c>
      <c r="K947">
        <v>2023</v>
      </c>
      <c r="L947" t="s">
        <v>42</v>
      </c>
      <c r="M947" t="s">
        <v>19</v>
      </c>
      <c r="N947">
        <v>5</v>
      </c>
    </row>
    <row r="948" spans="1:14" x14ac:dyDescent="0.25">
      <c r="A948">
        <v>947</v>
      </c>
      <c r="B948" s="1" t="s">
        <v>13</v>
      </c>
      <c r="C948">
        <v>63</v>
      </c>
      <c r="D948" s="1" t="s">
        <v>21</v>
      </c>
      <c r="E948" s="1" t="s">
        <v>15</v>
      </c>
      <c r="F948" s="1" t="s">
        <v>23</v>
      </c>
      <c r="G948" s="2">
        <v>45229</v>
      </c>
      <c r="H948">
        <v>12</v>
      </c>
      <c r="I948">
        <v>18940</v>
      </c>
      <c r="J948" s="1" t="s">
        <v>24</v>
      </c>
      <c r="K948">
        <v>2023</v>
      </c>
      <c r="L948" t="s">
        <v>41</v>
      </c>
      <c r="M948" t="s">
        <v>19</v>
      </c>
      <c r="N948">
        <v>10</v>
      </c>
    </row>
    <row r="949" spans="1:14" x14ac:dyDescent="0.25">
      <c r="A949">
        <v>948</v>
      </c>
      <c r="B949" s="1" t="s">
        <v>20</v>
      </c>
      <c r="C949">
        <v>28</v>
      </c>
      <c r="D949" s="1" t="s">
        <v>14</v>
      </c>
      <c r="E949" s="1" t="s">
        <v>35</v>
      </c>
      <c r="F949" s="1" t="s">
        <v>28</v>
      </c>
      <c r="G949" s="2">
        <v>45291</v>
      </c>
      <c r="H949">
        <v>1</v>
      </c>
      <c r="I949">
        <v>31831</v>
      </c>
      <c r="J949" s="1" t="s">
        <v>39</v>
      </c>
      <c r="K949">
        <v>2023</v>
      </c>
      <c r="L949" t="s">
        <v>26</v>
      </c>
      <c r="M949" t="s">
        <v>29</v>
      </c>
      <c r="N949">
        <v>12</v>
      </c>
    </row>
    <row r="950" spans="1:14" x14ac:dyDescent="0.25">
      <c r="A950">
        <v>949</v>
      </c>
      <c r="B950" s="1" t="s">
        <v>20</v>
      </c>
      <c r="C950">
        <v>60</v>
      </c>
      <c r="D950" s="1" t="s">
        <v>34</v>
      </c>
      <c r="E950" s="1" t="s">
        <v>35</v>
      </c>
      <c r="F950" s="1" t="s">
        <v>32</v>
      </c>
      <c r="G950" s="2">
        <v>45272</v>
      </c>
      <c r="H950">
        <v>10</v>
      </c>
      <c r="I950">
        <v>13279</v>
      </c>
      <c r="J950" s="1" t="s">
        <v>24</v>
      </c>
      <c r="K950">
        <v>2023</v>
      </c>
      <c r="L950" t="s">
        <v>26</v>
      </c>
      <c r="M950" t="s">
        <v>19</v>
      </c>
      <c r="N950">
        <v>12</v>
      </c>
    </row>
    <row r="951" spans="1:14" x14ac:dyDescent="0.25">
      <c r="A951">
        <v>950</v>
      </c>
      <c r="B951" s="1" t="s">
        <v>13</v>
      </c>
      <c r="C951">
        <v>79</v>
      </c>
      <c r="D951" s="1" t="s">
        <v>45</v>
      </c>
      <c r="E951" s="1" t="s">
        <v>27</v>
      </c>
      <c r="F951" s="1" t="s">
        <v>32</v>
      </c>
      <c r="G951" s="2">
        <v>45236</v>
      </c>
      <c r="H951">
        <v>2</v>
      </c>
      <c r="I951">
        <v>40220</v>
      </c>
      <c r="J951" s="1" t="s">
        <v>24</v>
      </c>
      <c r="K951">
        <v>2023</v>
      </c>
      <c r="L951" t="s">
        <v>18</v>
      </c>
      <c r="M951" t="s">
        <v>19</v>
      </c>
      <c r="N951">
        <v>11</v>
      </c>
    </row>
    <row r="952" spans="1:14" x14ac:dyDescent="0.25">
      <c r="A952">
        <v>951</v>
      </c>
      <c r="B952" s="1" t="s">
        <v>13</v>
      </c>
      <c r="C952">
        <v>37</v>
      </c>
      <c r="D952" s="1" t="s">
        <v>30</v>
      </c>
      <c r="E952" s="1" t="s">
        <v>15</v>
      </c>
      <c r="F952" s="1" t="s">
        <v>16</v>
      </c>
      <c r="G952" s="2">
        <v>45011</v>
      </c>
      <c r="H952">
        <v>8</v>
      </c>
      <c r="I952">
        <v>8477</v>
      </c>
      <c r="J952" s="1" t="s">
        <v>24</v>
      </c>
      <c r="K952">
        <v>2023</v>
      </c>
      <c r="L952" t="s">
        <v>43</v>
      </c>
      <c r="M952" t="s">
        <v>29</v>
      </c>
      <c r="N952">
        <v>3</v>
      </c>
    </row>
    <row r="953" spans="1:14" x14ac:dyDescent="0.25">
      <c r="A953">
        <v>952</v>
      </c>
      <c r="B953" s="1" t="s">
        <v>20</v>
      </c>
      <c r="C953">
        <v>22</v>
      </c>
      <c r="D953" s="1" t="s">
        <v>45</v>
      </c>
      <c r="E953" s="1" t="s">
        <v>31</v>
      </c>
      <c r="F953" s="1" t="s">
        <v>16</v>
      </c>
      <c r="G953" s="2">
        <v>45017</v>
      </c>
      <c r="H953">
        <v>1</v>
      </c>
      <c r="I953">
        <v>19400</v>
      </c>
      <c r="J953" s="1" t="s">
        <v>24</v>
      </c>
      <c r="K953">
        <v>2023</v>
      </c>
      <c r="L953" t="s">
        <v>33</v>
      </c>
      <c r="M953" t="s">
        <v>29</v>
      </c>
      <c r="N953">
        <v>4</v>
      </c>
    </row>
    <row r="954" spans="1:14" x14ac:dyDescent="0.25">
      <c r="A954">
        <v>953</v>
      </c>
      <c r="B954" s="1" t="s">
        <v>13</v>
      </c>
      <c r="C954">
        <v>68</v>
      </c>
      <c r="D954" s="1" t="s">
        <v>14</v>
      </c>
      <c r="E954" s="1" t="s">
        <v>22</v>
      </c>
      <c r="F954" s="1" t="s">
        <v>16</v>
      </c>
      <c r="G954" s="2">
        <v>44953</v>
      </c>
      <c r="H954">
        <v>12</v>
      </c>
      <c r="I954">
        <v>8470</v>
      </c>
      <c r="J954" s="1" t="s">
        <v>24</v>
      </c>
      <c r="K954">
        <v>2023</v>
      </c>
      <c r="L954" t="s">
        <v>48</v>
      </c>
      <c r="M954" t="s">
        <v>19</v>
      </c>
      <c r="N954">
        <v>1</v>
      </c>
    </row>
    <row r="955" spans="1:14" x14ac:dyDescent="0.25">
      <c r="A955">
        <v>954</v>
      </c>
      <c r="B955" s="1" t="s">
        <v>20</v>
      </c>
      <c r="C955">
        <v>20</v>
      </c>
      <c r="D955" s="1" t="s">
        <v>34</v>
      </c>
      <c r="E955" s="1" t="s">
        <v>15</v>
      </c>
      <c r="F955" s="1" t="s">
        <v>32</v>
      </c>
      <c r="G955" s="2">
        <v>45239</v>
      </c>
      <c r="H955">
        <v>8</v>
      </c>
      <c r="I955">
        <v>4062</v>
      </c>
      <c r="J955" s="1" t="s">
        <v>39</v>
      </c>
      <c r="K955">
        <v>2023</v>
      </c>
      <c r="L955" t="s">
        <v>18</v>
      </c>
      <c r="M955" t="s">
        <v>29</v>
      </c>
      <c r="N955">
        <v>11</v>
      </c>
    </row>
    <row r="956" spans="1:14" x14ac:dyDescent="0.25">
      <c r="A956">
        <v>955</v>
      </c>
      <c r="B956" s="1" t="s">
        <v>13</v>
      </c>
      <c r="C956">
        <v>68</v>
      </c>
      <c r="D956" s="1" t="s">
        <v>14</v>
      </c>
      <c r="E956" s="1" t="s">
        <v>35</v>
      </c>
      <c r="F956" s="1" t="s">
        <v>28</v>
      </c>
      <c r="G956" s="2">
        <v>45188</v>
      </c>
      <c r="H956">
        <v>8</v>
      </c>
      <c r="I956">
        <v>43798</v>
      </c>
      <c r="J956" s="1" t="s">
        <v>24</v>
      </c>
      <c r="K956">
        <v>2023</v>
      </c>
      <c r="L956" t="s">
        <v>44</v>
      </c>
      <c r="M956" t="s">
        <v>19</v>
      </c>
      <c r="N956">
        <v>9</v>
      </c>
    </row>
    <row r="957" spans="1:14" x14ac:dyDescent="0.25">
      <c r="A957">
        <v>956</v>
      </c>
      <c r="B957" s="1" t="s">
        <v>13</v>
      </c>
      <c r="C957">
        <v>64</v>
      </c>
      <c r="D957" s="1" t="s">
        <v>34</v>
      </c>
      <c r="E957" s="1" t="s">
        <v>27</v>
      </c>
      <c r="F957" s="1" t="s">
        <v>16</v>
      </c>
      <c r="G957" s="2">
        <v>44943</v>
      </c>
      <c r="H957">
        <v>2</v>
      </c>
      <c r="I957">
        <v>21880</v>
      </c>
      <c r="J957" s="1" t="s">
        <v>39</v>
      </c>
      <c r="K957">
        <v>2023</v>
      </c>
      <c r="L957" t="s">
        <v>48</v>
      </c>
      <c r="M957" t="s">
        <v>19</v>
      </c>
      <c r="N957">
        <v>1</v>
      </c>
    </row>
    <row r="958" spans="1:14" x14ac:dyDescent="0.25">
      <c r="A958">
        <v>957</v>
      </c>
      <c r="B958" s="1" t="s">
        <v>20</v>
      </c>
      <c r="C958">
        <v>17</v>
      </c>
      <c r="D958" s="1" t="s">
        <v>37</v>
      </c>
      <c r="E958" s="1" t="s">
        <v>27</v>
      </c>
      <c r="F958" s="1" t="s">
        <v>28</v>
      </c>
      <c r="G958" s="2">
        <v>45011</v>
      </c>
      <c r="H958">
        <v>4</v>
      </c>
      <c r="I958">
        <v>36581</v>
      </c>
      <c r="J958" s="1" t="s">
        <v>24</v>
      </c>
      <c r="K958">
        <v>2023</v>
      </c>
      <c r="L958" t="s">
        <v>43</v>
      </c>
      <c r="M958" t="s">
        <v>25</v>
      </c>
      <c r="N958">
        <v>3</v>
      </c>
    </row>
    <row r="959" spans="1:14" x14ac:dyDescent="0.25">
      <c r="A959">
        <v>958</v>
      </c>
      <c r="B959" s="1" t="s">
        <v>13</v>
      </c>
      <c r="C959">
        <v>12</v>
      </c>
      <c r="D959" s="1" t="s">
        <v>34</v>
      </c>
      <c r="E959" s="1" t="s">
        <v>22</v>
      </c>
      <c r="F959" s="1" t="s">
        <v>16</v>
      </c>
      <c r="G959" s="2">
        <v>45251</v>
      </c>
      <c r="H959">
        <v>6</v>
      </c>
      <c r="I959">
        <v>46439</v>
      </c>
      <c r="J959" s="1" t="s">
        <v>39</v>
      </c>
      <c r="K959">
        <v>2023</v>
      </c>
      <c r="L959" t="s">
        <v>18</v>
      </c>
      <c r="M959" t="s">
        <v>25</v>
      </c>
      <c r="N959">
        <v>11</v>
      </c>
    </row>
    <row r="960" spans="1:14" x14ac:dyDescent="0.25">
      <c r="A960">
        <v>959</v>
      </c>
      <c r="B960" s="1" t="s">
        <v>20</v>
      </c>
      <c r="C960">
        <v>22</v>
      </c>
      <c r="D960" s="1" t="s">
        <v>21</v>
      </c>
      <c r="E960" s="1" t="s">
        <v>27</v>
      </c>
      <c r="F960" s="1" t="s">
        <v>23</v>
      </c>
      <c r="G960" s="2">
        <v>45166</v>
      </c>
      <c r="H960">
        <v>12</v>
      </c>
      <c r="I960">
        <v>16308</v>
      </c>
      <c r="J960" s="1" t="s">
        <v>24</v>
      </c>
      <c r="K960">
        <v>2023</v>
      </c>
      <c r="L960" t="s">
        <v>47</v>
      </c>
      <c r="M960" t="s">
        <v>29</v>
      </c>
      <c r="N960">
        <v>8</v>
      </c>
    </row>
    <row r="961" spans="1:14" x14ac:dyDescent="0.25">
      <c r="A961">
        <v>960</v>
      </c>
      <c r="B961" s="1" t="s">
        <v>13</v>
      </c>
      <c r="C961">
        <v>17</v>
      </c>
      <c r="D961" s="1" t="s">
        <v>14</v>
      </c>
      <c r="E961" s="1" t="s">
        <v>27</v>
      </c>
      <c r="F961" s="1" t="s">
        <v>23</v>
      </c>
      <c r="G961" s="2">
        <v>44946</v>
      </c>
      <c r="H961">
        <v>11</v>
      </c>
      <c r="I961">
        <v>28027</v>
      </c>
      <c r="J961" s="1" t="s">
        <v>24</v>
      </c>
      <c r="K961">
        <v>2023</v>
      </c>
      <c r="L961" t="s">
        <v>48</v>
      </c>
      <c r="M961" t="s">
        <v>25</v>
      </c>
      <c r="N961">
        <v>1</v>
      </c>
    </row>
    <row r="962" spans="1:14" x14ac:dyDescent="0.25">
      <c r="A962">
        <v>961</v>
      </c>
      <c r="B962" s="1" t="s">
        <v>13</v>
      </c>
      <c r="C962">
        <v>10</v>
      </c>
      <c r="D962" s="1" t="s">
        <v>30</v>
      </c>
      <c r="E962" s="1" t="s">
        <v>15</v>
      </c>
      <c r="F962" s="1" t="s">
        <v>16</v>
      </c>
      <c r="G962" s="2">
        <v>45016</v>
      </c>
      <c r="H962">
        <v>9</v>
      </c>
      <c r="I962">
        <v>32720</v>
      </c>
      <c r="J962" s="1" t="s">
        <v>24</v>
      </c>
      <c r="K962">
        <v>2023</v>
      </c>
      <c r="L962" t="s">
        <v>43</v>
      </c>
      <c r="M962" t="s">
        <v>25</v>
      </c>
      <c r="N962">
        <v>3</v>
      </c>
    </row>
    <row r="963" spans="1:14" x14ac:dyDescent="0.25">
      <c r="A963">
        <v>962</v>
      </c>
      <c r="B963" s="1" t="s">
        <v>13</v>
      </c>
      <c r="C963">
        <v>65</v>
      </c>
      <c r="D963" s="1" t="s">
        <v>37</v>
      </c>
      <c r="E963" s="1" t="s">
        <v>31</v>
      </c>
      <c r="F963" s="1" t="s">
        <v>32</v>
      </c>
      <c r="G963" s="2">
        <v>45152</v>
      </c>
      <c r="H963">
        <v>8</v>
      </c>
      <c r="I963">
        <v>37081</v>
      </c>
      <c r="J963" s="1" t="s">
        <v>24</v>
      </c>
      <c r="K963">
        <v>2023</v>
      </c>
      <c r="L963" t="s">
        <v>47</v>
      </c>
      <c r="M963" t="s">
        <v>19</v>
      </c>
      <c r="N963">
        <v>8</v>
      </c>
    </row>
    <row r="964" spans="1:14" x14ac:dyDescent="0.25">
      <c r="A964">
        <v>963</v>
      </c>
      <c r="B964" s="1" t="s">
        <v>20</v>
      </c>
      <c r="C964">
        <v>22</v>
      </c>
      <c r="D964" s="1" t="s">
        <v>21</v>
      </c>
      <c r="E964" s="1" t="s">
        <v>22</v>
      </c>
      <c r="F964" s="1" t="s">
        <v>16</v>
      </c>
      <c r="G964" s="2">
        <v>45001</v>
      </c>
      <c r="H964">
        <v>12</v>
      </c>
      <c r="I964">
        <v>11706</v>
      </c>
      <c r="J964" s="1" t="s">
        <v>24</v>
      </c>
      <c r="K964">
        <v>2023</v>
      </c>
      <c r="L964" t="s">
        <v>43</v>
      </c>
      <c r="M964" t="s">
        <v>29</v>
      </c>
      <c r="N964">
        <v>3</v>
      </c>
    </row>
    <row r="965" spans="1:14" x14ac:dyDescent="0.25">
      <c r="A965">
        <v>964</v>
      </c>
      <c r="B965" s="1" t="s">
        <v>13</v>
      </c>
      <c r="C965">
        <v>82</v>
      </c>
      <c r="D965" s="1" t="s">
        <v>45</v>
      </c>
      <c r="E965" s="1" t="s">
        <v>15</v>
      </c>
      <c r="F965" s="1" t="s">
        <v>16</v>
      </c>
      <c r="G965" s="2">
        <v>45139</v>
      </c>
      <c r="H965">
        <v>8</v>
      </c>
      <c r="I965">
        <v>11837</v>
      </c>
      <c r="J965" s="1" t="s">
        <v>39</v>
      </c>
      <c r="K965">
        <v>2023</v>
      </c>
      <c r="L965" t="s">
        <v>47</v>
      </c>
      <c r="M965" t="s">
        <v>19</v>
      </c>
      <c r="N965">
        <v>8</v>
      </c>
    </row>
    <row r="966" spans="1:14" x14ac:dyDescent="0.25">
      <c r="A966">
        <v>965</v>
      </c>
      <c r="B966" s="1" t="s">
        <v>13</v>
      </c>
      <c r="C966">
        <v>50</v>
      </c>
      <c r="D966" s="1" t="s">
        <v>14</v>
      </c>
      <c r="E966" s="1" t="s">
        <v>31</v>
      </c>
      <c r="F966" s="1" t="s">
        <v>32</v>
      </c>
      <c r="G966" s="2">
        <v>45220</v>
      </c>
      <c r="H966">
        <v>7</v>
      </c>
      <c r="I966">
        <v>40599</v>
      </c>
      <c r="J966" s="1" t="s">
        <v>24</v>
      </c>
      <c r="K966">
        <v>2023</v>
      </c>
      <c r="L966" t="s">
        <v>41</v>
      </c>
      <c r="M966" t="s">
        <v>38</v>
      </c>
      <c r="N966">
        <v>10</v>
      </c>
    </row>
    <row r="967" spans="1:14" x14ac:dyDescent="0.25">
      <c r="A967">
        <v>966</v>
      </c>
      <c r="B967" s="1" t="s">
        <v>13</v>
      </c>
      <c r="C967">
        <v>14</v>
      </c>
      <c r="D967" s="1" t="s">
        <v>30</v>
      </c>
      <c r="E967" s="1" t="s">
        <v>15</v>
      </c>
      <c r="F967" s="1" t="s">
        <v>23</v>
      </c>
      <c r="G967" s="2">
        <v>45172</v>
      </c>
      <c r="H967">
        <v>14</v>
      </c>
      <c r="I967">
        <v>38824</v>
      </c>
      <c r="J967" s="1" t="s">
        <v>39</v>
      </c>
      <c r="K967">
        <v>2023</v>
      </c>
      <c r="L967" t="s">
        <v>44</v>
      </c>
      <c r="M967" t="s">
        <v>25</v>
      </c>
      <c r="N967">
        <v>9</v>
      </c>
    </row>
    <row r="968" spans="1:14" x14ac:dyDescent="0.25">
      <c r="A968">
        <v>967</v>
      </c>
      <c r="B968" s="1" t="s">
        <v>13</v>
      </c>
      <c r="C968">
        <v>64</v>
      </c>
      <c r="D968" s="1" t="s">
        <v>34</v>
      </c>
      <c r="E968" s="1" t="s">
        <v>15</v>
      </c>
      <c r="F968" s="1" t="s">
        <v>28</v>
      </c>
      <c r="G968" s="2">
        <v>45217</v>
      </c>
      <c r="H968">
        <v>13</v>
      </c>
      <c r="I968">
        <v>35073</v>
      </c>
      <c r="J968" s="1" t="s">
        <v>24</v>
      </c>
      <c r="K968">
        <v>2023</v>
      </c>
      <c r="L968" t="s">
        <v>41</v>
      </c>
      <c r="M968" t="s">
        <v>19</v>
      </c>
      <c r="N968">
        <v>10</v>
      </c>
    </row>
    <row r="969" spans="1:14" x14ac:dyDescent="0.25">
      <c r="A969">
        <v>968</v>
      </c>
      <c r="B969" s="1" t="s">
        <v>20</v>
      </c>
      <c r="C969">
        <v>47</v>
      </c>
      <c r="D969" s="1" t="s">
        <v>30</v>
      </c>
      <c r="E969" s="1" t="s">
        <v>27</v>
      </c>
      <c r="F969" s="1" t="s">
        <v>16</v>
      </c>
      <c r="G969" s="2">
        <v>45117</v>
      </c>
      <c r="H969">
        <v>9</v>
      </c>
      <c r="I969">
        <v>49115</v>
      </c>
      <c r="J969" s="1" t="s">
        <v>39</v>
      </c>
      <c r="K969">
        <v>2023</v>
      </c>
      <c r="L969" t="s">
        <v>36</v>
      </c>
      <c r="M969" t="s">
        <v>38</v>
      </c>
      <c r="N969">
        <v>7</v>
      </c>
    </row>
    <row r="970" spans="1:14" x14ac:dyDescent="0.25">
      <c r="A970">
        <v>969</v>
      </c>
      <c r="B970" s="1" t="s">
        <v>20</v>
      </c>
      <c r="C970">
        <v>29</v>
      </c>
      <c r="D970" s="1" t="s">
        <v>45</v>
      </c>
      <c r="E970" s="1" t="s">
        <v>31</v>
      </c>
      <c r="F970" s="1" t="s">
        <v>32</v>
      </c>
      <c r="G970" s="2">
        <v>45240</v>
      </c>
      <c r="H970">
        <v>2</v>
      </c>
      <c r="I970">
        <v>34088</v>
      </c>
      <c r="J970" s="1" t="s">
        <v>24</v>
      </c>
      <c r="K970">
        <v>2023</v>
      </c>
      <c r="L970" t="s">
        <v>18</v>
      </c>
      <c r="M970" t="s">
        <v>29</v>
      </c>
      <c r="N970">
        <v>11</v>
      </c>
    </row>
    <row r="971" spans="1:14" x14ac:dyDescent="0.25">
      <c r="A971">
        <v>970</v>
      </c>
      <c r="B971" s="1" t="s">
        <v>13</v>
      </c>
      <c r="C971">
        <v>76</v>
      </c>
      <c r="D971" s="1" t="s">
        <v>37</v>
      </c>
      <c r="E971" s="1" t="s">
        <v>22</v>
      </c>
      <c r="F971" s="1" t="s">
        <v>16</v>
      </c>
      <c r="G971" s="2">
        <v>44969</v>
      </c>
      <c r="H971">
        <v>3</v>
      </c>
      <c r="I971">
        <v>30112</v>
      </c>
      <c r="J971" s="1" t="s">
        <v>24</v>
      </c>
      <c r="K971">
        <v>2023</v>
      </c>
      <c r="L971" t="s">
        <v>46</v>
      </c>
      <c r="M971" t="s">
        <v>19</v>
      </c>
      <c r="N971">
        <v>2</v>
      </c>
    </row>
    <row r="972" spans="1:14" x14ac:dyDescent="0.25">
      <c r="A972">
        <v>971</v>
      </c>
      <c r="B972" s="1" t="s">
        <v>20</v>
      </c>
      <c r="C972">
        <v>36</v>
      </c>
      <c r="D972" s="1" t="s">
        <v>37</v>
      </c>
      <c r="E972" s="1" t="s">
        <v>22</v>
      </c>
      <c r="F972" s="1" t="s">
        <v>32</v>
      </c>
      <c r="G972" s="2">
        <v>45091</v>
      </c>
      <c r="H972">
        <v>10</v>
      </c>
      <c r="I972">
        <v>28299</v>
      </c>
      <c r="J972" s="1" t="s">
        <v>17</v>
      </c>
      <c r="K972">
        <v>2023</v>
      </c>
      <c r="L972" t="s">
        <v>40</v>
      </c>
      <c r="M972" t="s">
        <v>29</v>
      </c>
      <c r="N972">
        <v>6</v>
      </c>
    </row>
    <row r="973" spans="1:14" x14ac:dyDescent="0.25">
      <c r="A973">
        <v>972</v>
      </c>
      <c r="B973" s="1" t="s">
        <v>13</v>
      </c>
      <c r="C973">
        <v>52</v>
      </c>
      <c r="D973" s="1" t="s">
        <v>14</v>
      </c>
      <c r="E973" s="1" t="s">
        <v>31</v>
      </c>
      <c r="F973" s="1" t="s">
        <v>28</v>
      </c>
      <c r="G973" s="2">
        <v>45078</v>
      </c>
      <c r="H973">
        <v>8</v>
      </c>
      <c r="I973">
        <v>36457</v>
      </c>
      <c r="J973" s="1" t="s">
        <v>24</v>
      </c>
      <c r="K973">
        <v>2023</v>
      </c>
      <c r="L973" t="s">
        <v>40</v>
      </c>
      <c r="M973" t="s">
        <v>38</v>
      </c>
      <c r="N973">
        <v>6</v>
      </c>
    </row>
    <row r="974" spans="1:14" x14ac:dyDescent="0.25">
      <c r="A974">
        <v>973</v>
      </c>
      <c r="B974" s="1" t="s">
        <v>13</v>
      </c>
      <c r="C974">
        <v>76</v>
      </c>
      <c r="D974" s="1" t="s">
        <v>37</v>
      </c>
      <c r="E974" s="1" t="s">
        <v>27</v>
      </c>
      <c r="F974" s="1" t="s">
        <v>28</v>
      </c>
      <c r="G974" s="2">
        <v>45217</v>
      </c>
      <c r="H974">
        <v>14</v>
      </c>
      <c r="I974">
        <v>32063</v>
      </c>
      <c r="J974" s="1" t="s">
        <v>24</v>
      </c>
      <c r="K974">
        <v>2023</v>
      </c>
      <c r="L974" t="s">
        <v>41</v>
      </c>
      <c r="M974" t="s">
        <v>19</v>
      </c>
      <c r="N974">
        <v>10</v>
      </c>
    </row>
    <row r="975" spans="1:14" x14ac:dyDescent="0.25">
      <c r="A975">
        <v>974</v>
      </c>
      <c r="B975" s="1" t="s">
        <v>13</v>
      </c>
      <c r="C975">
        <v>7</v>
      </c>
      <c r="D975" s="1" t="s">
        <v>14</v>
      </c>
      <c r="E975" s="1" t="s">
        <v>35</v>
      </c>
      <c r="F975" s="1" t="s">
        <v>23</v>
      </c>
      <c r="G975" s="2">
        <v>45131</v>
      </c>
      <c r="H975">
        <v>6</v>
      </c>
      <c r="I975">
        <v>5917</v>
      </c>
      <c r="J975" s="1" t="s">
        <v>24</v>
      </c>
      <c r="K975">
        <v>2023</v>
      </c>
      <c r="L975" t="s">
        <v>36</v>
      </c>
      <c r="M975" t="s">
        <v>25</v>
      </c>
      <c r="N975">
        <v>7</v>
      </c>
    </row>
    <row r="976" spans="1:14" x14ac:dyDescent="0.25">
      <c r="A976">
        <v>975</v>
      </c>
      <c r="B976" s="1" t="s">
        <v>20</v>
      </c>
      <c r="C976">
        <v>29</v>
      </c>
      <c r="D976" s="1" t="s">
        <v>14</v>
      </c>
      <c r="E976" s="1" t="s">
        <v>15</v>
      </c>
      <c r="F976" s="1" t="s">
        <v>32</v>
      </c>
      <c r="G976" s="2">
        <v>44950</v>
      </c>
      <c r="H976">
        <v>10</v>
      </c>
      <c r="I976">
        <v>4936</v>
      </c>
      <c r="J976" s="1" t="s">
        <v>24</v>
      </c>
      <c r="K976">
        <v>2023</v>
      </c>
      <c r="L976" t="s">
        <v>48</v>
      </c>
      <c r="M976" t="s">
        <v>29</v>
      </c>
      <c r="N976">
        <v>1</v>
      </c>
    </row>
    <row r="977" spans="1:14" x14ac:dyDescent="0.25">
      <c r="A977">
        <v>976</v>
      </c>
      <c r="B977" s="1" t="s">
        <v>20</v>
      </c>
      <c r="C977">
        <v>11</v>
      </c>
      <c r="D977" s="1" t="s">
        <v>14</v>
      </c>
      <c r="E977" s="1" t="s">
        <v>27</v>
      </c>
      <c r="F977" s="1" t="s">
        <v>32</v>
      </c>
      <c r="G977" s="2">
        <v>44933</v>
      </c>
      <c r="H977">
        <v>9</v>
      </c>
      <c r="I977">
        <v>38630</v>
      </c>
      <c r="J977" s="1" t="s">
        <v>24</v>
      </c>
      <c r="K977">
        <v>2023</v>
      </c>
      <c r="L977" t="s">
        <v>48</v>
      </c>
      <c r="M977" t="s">
        <v>25</v>
      </c>
      <c r="N977">
        <v>1</v>
      </c>
    </row>
    <row r="978" spans="1:14" x14ac:dyDescent="0.25">
      <c r="A978">
        <v>977</v>
      </c>
      <c r="B978" s="1" t="s">
        <v>20</v>
      </c>
      <c r="C978">
        <v>33</v>
      </c>
      <c r="D978" s="1" t="s">
        <v>34</v>
      </c>
      <c r="E978" s="1" t="s">
        <v>31</v>
      </c>
      <c r="F978" s="1" t="s">
        <v>23</v>
      </c>
      <c r="G978" s="2">
        <v>45056</v>
      </c>
      <c r="H978">
        <v>10</v>
      </c>
      <c r="I978">
        <v>16506</v>
      </c>
      <c r="J978" s="1" t="s">
        <v>39</v>
      </c>
      <c r="K978">
        <v>2023</v>
      </c>
      <c r="L978" t="s">
        <v>42</v>
      </c>
      <c r="M978" t="s">
        <v>29</v>
      </c>
      <c r="N978">
        <v>5</v>
      </c>
    </row>
    <row r="979" spans="1:14" x14ac:dyDescent="0.25">
      <c r="A979">
        <v>978</v>
      </c>
      <c r="B979" s="1" t="s">
        <v>20</v>
      </c>
      <c r="C979">
        <v>6</v>
      </c>
      <c r="D979" s="1" t="s">
        <v>21</v>
      </c>
      <c r="E979" s="1" t="s">
        <v>15</v>
      </c>
      <c r="F979" s="1" t="s">
        <v>23</v>
      </c>
      <c r="G979" s="2">
        <v>44977</v>
      </c>
      <c r="H979">
        <v>4</v>
      </c>
      <c r="I979">
        <v>30805</v>
      </c>
      <c r="J979" s="1" t="s">
        <v>24</v>
      </c>
      <c r="K979">
        <v>2023</v>
      </c>
      <c r="L979" t="s">
        <v>46</v>
      </c>
      <c r="M979" t="s">
        <v>25</v>
      </c>
      <c r="N979">
        <v>2</v>
      </c>
    </row>
    <row r="980" spans="1:14" x14ac:dyDescent="0.25">
      <c r="A980">
        <v>979</v>
      </c>
      <c r="B980" s="1" t="s">
        <v>20</v>
      </c>
      <c r="C980">
        <v>79</v>
      </c>
      <c r="D980" s="1" t="s">
        <v>14</v>
      </c>
      <c r="E980" s="1" t="s">
        <v>22</v>
      </c>
      <c r="F980" s="1" t="s">
        <v>32</v>
      </c>
      <c r="G980" s="2">
        <v>45148</v>
      </c>
      <c r="H980">
        <v>8</v>
      </c>
      <c r="I980">
        <v>16318</v>
      </c>
      <c r="J980" s="1" t="s">
        <v>24</v>
      </c>
      <c r="K980">
        <v>2023</v>
      </c>
      <c r="L980" t="s">
        <v>47</v>
      </c>
      <c r="M980" t="s">
        <v>19</v>
      </c>
      <c r="N980">
        <v>8</v>
      </c>
    </row>
    <row r="981" spans="1:14" x14ac:dyDescent="0.25">
      <c r="A981">
        <v>980</v>
      </c>
      <c r="B981" s="1" t="s">
        <v>20</v>
      </c>
      <c r="C981">
        <v>32</v>
      </c>
      <c r="D981" s="1" t="s">
        <v>14</v>
      </c>
      <c r="E981" s="1" t="s">
        <v>35</v>
      </c>
      <c r="F981" s="1" t="s">
        <v>23</v>
      </c>
      <c r="G981" s="2">
        <v>45018</v>
      </c>
      <c r="H981">
        <v>10</v>
      </c>
      <c r="I981">
        <v>28026</v>
      </c>
      <c r="J981" s="1" t="s">
        <v>24</v>
      </c>
      <c r="K981">
        <v>2023</v>
      </c>
      <c r="L981" t="s">
        <v>33</v>
      </c>
      <c r="M981" t="s">
        <v>29</v>
      </c>
      <c r="N981">
        <v>4</v>
      </c>
    </row>
    <row r="982" spans="1:14" x14ac:dyDescent="0.25">
      <c r="A982">
        <v>981</v>
      </c>
      <c r="B982" s="1" t="s">
        <v>20</v>
      </c>
      <c r="C982">
        <v>51</v>
      </c>
      <c r="D982" s="1" t="s">
        <v>21</v>
      </c>
      <c r="E982" s="1" t="s">
        <v>22</v>
      </c>
      <c r="F982" s="1" t="s">
        <v>28</v>
      </c>
      <c r="G982" s="2">
        <v>45196</v>
      </c>
      <c r="H982">
        <v>3</v>
      </c>
      <c r="I982">
        <v>29672</v>
      </c>
      <c r="J982" s="1" t="s">
        <v>24</v>
      </c>
      <c r="K982">
        <v>2023</v>
      </c>
      <c r="L982" t="s">
        <v>44</v>
      </c>
      <c r="M982" t="s">
        <v>38</v>
      </c>
      <c r="N982">
        <v>9</v>
      </c>
    </row>
    <row r="983" spans="1:14" x14ac:dyDescent="0.25">
      <c r="A983">
        <v>982</v>
      </c>
      <c r="B983" s="1" t="s">
        <v>20</v>
      </c>
      <c r="C983">
        <v>75</v>
      </c>
      <c r="D983" s="1" t="s">
        <v>30</v>
      </c>
      <c r="E983" s="1" t="s">
        <v>31</v>
      </c>
      <c r="F983" s="1" t="s">
        <v>16</v>
      </c>
      <c r="G983" s="2">
        <v>45218</v>
      </c>
      <c r="H983">
        <v>3</v>
      </c>
      <c r="I983">
        <v>40417</v>
      </c>
      <c r="J983" s="1" t="s">
        <v>24</v>
      </c>
      <c r="K983">
        <v>2023</v>
      </c>
      <c r="L983" t="s">
        <v>41</v>
      </c>
      <c r="M983" t="s">
        <v>19</v>
      </c>
      <c r="N983">
        <v>10</v>
      </c>
    </row>
    <row r="984" spans="1:14" x14ac:dyDescent="0.25">
      <c r="A984">
        <v>983</v>
      </c>
      <c r="B984" s="1" t="s">
        <v>20</v>
      </c>
      <c r="C984">
        <v>58</v>
      </c>
      <c r="D984" s="1" t="s">
        <v>14</v>
      </c>
      <c r="E984" s="1" t="s">
        <v>15</v>
      </c>
      <c r="F984" s="1" t="s">
        <v>28</v>
      </c>
      <c r="G984" s="2">
        <v>44969</v>
      </c>
      <c r="H984">
        <v>8</v>
      </c>
      <c r="I984">
        <v>29281</v>
      </c>
      <c r="J984" s="1" t="s">
        <v>39</v>
      </c>
      <c r="K984">
        <v>2023</v>
      </c>
      <c r="L984" t="s">
        <v>46</v>
      </c>
      <c r="M984" t="s">
        <v>38</v>
      </c>
      <c r="N984">
        <v>2</v>
      </c>
    </row>
    <row r="985" spans="1:14" x14ac:dyDescent="0.25">
      <c r="A985">
        <v>984</v>
      </c>
      <c r="B985" s="1" t="s">
        <v>13</v>
      </c>
      <c r="C985">
        <v>87</v>
      </c>
      <c r="D985" s="1" t="s">
        <v>34</v>
      </c>
      <c r="E985" s="1" t="s">
        <v>31</v>
      </c>
      <c r="F985" s="1" t="s">
        <v>23</v>
      </c>
      <c r="G985" s="2">
        <v>45119</v>
      </c>
      <c r="H985">
        <v>5</v>
      </c>
      <c r="I985">
        <v>30091</v>
      </c>
      <c r="J985" s="1" t="s">
        <v>24</v>
      </c>
      <c r="K985">
        <v>2023</v>
      </c>
      <c r="L985" t="s">
        <v>36</v>
      </c>
      <c r="M985" t="s">
        <v>19</v>
      </c>
      <c r="N985">
        <v>7</v>
      </c>
    </row>
    <row r="986" spans="1:14" x14ac:dyDescent="0.25">
      <c r="A986">
        <v>985</v>
      </c>
      <c r="B986" s="1" t="s">
        <v>20</v>
      </c>
      <c r="C986">
        <v>26</v>
      </c>
      <c r="D986" s="1" t="s">
        <v>37</v>
      </c>
      <c r="E986" s="1" t="s">
        <v>15</v>
      </c>
      <c r="F986" s="1" t="s">
        <v>32</v>
      </c>
      <c r="G986" s="2">
        <v>44951</v>
      </c>
      <c r="H986">
        <v>3</v>
      </c>
      <c r="I986">
        <v>40328</v>
      </c>
      <c r="J986" s="1" t="s">
        <v>39</v>
      </c>
      <c r="K986">
        <v>2023</v>
      </c>
      <c r="L986" t="s">
        <v>48</v>
      </c>
      <c r="M986" t="s">
        <v>29</v>
      </c>
      <c r="N986">
        <v>1</v>
      </c>
    </row>
    <row r="987" spans="1:14" x14ac:dyDescent="0.25">
      <c r="A987">
        <v>986</v>
      </c>
      <c r="B987" s="1" t="s">
        <v>20</v>
      </c>
      <c r="C987">
        <v>46</v>
      </c>
      <c r="D987" s="1" t="s">
        <v>37</v>
      </c>
      <c r="E987" s="1" t="s">
        <v>27</v>
      </c>
      <c r="F987" s="1" t="s">
        <v>32</v>
      </c>
      <c r="G987" s="2">
        <v>45194</v>
      </c>
      <c r="H987">
        <v>10</v>
      </c>
      <c r="I987">
        <v>20610</v>
      </c>
      <c r="J987" s="1" t="s">
        <v>24</v>
      </c>
      <c r="K987">
        <v>2023</v>
      </c>
      <c r="L987" t="s">
        <v>44</v>
      </c>
      <c r="M987" t="s">
        <v>38</v>
      </c>
      <c r="N987">
        <v>9</v>
      </c>
    </row>
    <row r="988" spans="1:14" x14ac:dyDescent="0.25">
      <c r="A988">
        <v>987</v>
      </c>
      <c r="B988" s="1" t="s">
        <v>20</v>
      </c>
      <c r="C988">
        <v>29</v>
      </c>
      <c r="D988" s="1" t="s">
        <v>45</v>
      </c>
      <c r="E988" s="1" t="s">
        <v>35</v>
      </c>
      <c r="F988" s="1" t="s">
        <v>28</v>
      </c>
      <c r="G988" s="2">
        <v>44954</v>
      </c>
      <c r="H988">
        <v>11</v>
      </c>
      <c r="I988">
        <v>3079</v>
      </c>
      <c r="J988" s="1" t="s">
        <v>24</v>
      </c>
      <c r="K988">
        <v>2023</v>
      </c>
      <c r="L988" t="s">
        <v>48</v>
      </c>
      <c r="M988" t="s">
        <v>29</v>
      </c>
      <c r="N988">
        <v>1</v>
      </c>
    </row>
    <row r="989" spans="1:14" x14ac:dyDescent="0.25">
      <c r="A989">
        <v>988</v>
      </c>
      <c r="B989" s="1" t="s">
        <v>20</v>
      </c>
      <c r="C989">
        <v>4</v>
      </c>
      <c r="D989" s="1" t="s">
        <v>45</v>
      </c>
      <c r="E989" s="1" t="s">
        <v>27</v>
      </c>
      <c r="F989" s="1" t="s">
        <v>32</v>
      </c>
      <c r="G989" s="2">
        <v>45180</v>
      </c>
      <c r="H989">
        <v>1</v>
      </c>
      <c r="I989">
        <v>31850</v>
      </c>
      <c r="J989" s="1" t="s">
        <v>24</v>
      </c>
      <c r="K989">
        <v>2023</v>
      </c>
      <c r="L989" t="s">
        <v>44</v>
      </c>
      <c r="M989" t="s">
        <v>25</v>
      </c>
      <c r="N989">
        <v>9</v>
      </c>
    </row>
    <row r="990" spans="1:14" x14ac:dyDescent="0.25">
      <c r="A990">
        <v>989</v>
      </c>
      <c r="B990" s="1" t="s">
        <v>20</v>
      </c>
      <c r="C990">
        <v>81</v>
      </c>
      <c r="D990" s="1" t="s">
        <v>37</v>
      </c>
      <c r="E990" s="1" t="s">
        <v>27</v>
      </c>
      <c r="F990" s="1" t="s">
        <v>23</v>
      </c>
      <c r="G990" s="2">
        <v>45018</v>
      </c>
      <c r="H990">
        <v>3</v>
      </c>
      <c r="I990">
        <v>48751</v>
      </c>
      <c r="J990" s="1" t="s">
        <v>24</v>
      </c>
      <c r="K990">
        <v>2023</v>
      </c>
      <c r="L990" t="s">
        <v>33</v>
      </c>
      <c r="M990" t="s">
        <v>19</v>
      </c>
      <c r="N990">
        <v>4</v>
      </c>
    </row>
    <row r="991" spans="1:14" x14ac:dyDescent="0.25">
      <c r="A991">
        <v>990</v>
      </c>
      <c r="B991" s="1" t="s">
        <v>20</v>
      </c>
      <c r="C991">
        <v>13</v>
      </c>
      <c r="D991" s="1" t="s">
        <v>37</v>
      </c>
      <c r="E991" s="1" t="s">
        <v>31</v>
      </c>
      <c r="F991" s="1" t="s">
        <v>28</v>
      </c>
      <c r="G991" s="2">
        <v>45027</v>
      </c>
      <c r="H991">
        <v>12</v>
      </c>
      <c r="I991">
        <v>22590</v>
      </c>
      <c r="J991" s="1" t="s">
        <v>24</v>
      </c>
      <c r="K991">
        <v>2023</v>
      </c>
      <c r="L991" t="s">
        <v>33</v>
      </c>
      <c r="M991" t="s">
        <v>25</v>
      </c>
      <c r="N991">
        <v>4</v>
      </c>
    </row>
    <row r="992" spans="1:14" x14ac:dyDescent="0.25">
      <c r="A992">
        <v>991</v>
      </c>
      <c r="B992" s="1" t="s">
        <v>20</v>
      </c>
      <c r="C992">
        <v>39</v>
      </c>
      <c r="D992" s="1" t="s">
        <v>34</v>
      </c>
      <c r="E992" s="1" t="s">
        <v>35</v>
      </c>
      <c r="F992" s="1" t="s">
        <v>32</v>
      </c>
      <c r="G992" s="2">
        <v>45081</v>
      </c>
      <c r="H992">
        <v>9</v>
      </c>
      <c r="I992">
        <v>32951</v>
      </c>
      <c r="J992" s="1" t="s">
        <v>24</v>
      </c>
      <c r="K992">
        <v>2023</v>
      </c>
      <c r="L992" t="s">
        <v>40</v>
      </c>
      <c r="M992" t="s">
        <v>29</v>
      </c>
      <c r="N992">
        <v>6</v>
      </c>
    </row>
    <row r="993" spans="1:14" x14ac:dyDescent="0.25">
      <c r="A993">
        <v>992</v>
      </c>
      <c r="B993" s="1" t="s">
        <v>20</v>
      </c>
      <c r="C993">
        <v>15</v>
      </c>
      <c r="D993" s="1" t="s">
        <v>21</v>
      </c>
      <c r="E993" s="1" t="s">
        <v>15</v>
      </c>
      <c r="F993" s="1" t="s">
        <v>16</v>
      </c>
      <c r="G993" s="2">
        <v>44930</v>
      </c>
      <c r="H993">
        <v>5</v>
      </c>
      <c r="I993">
        <v>17327</v>
      </c>
      <c r="J993" s="1" t="s">
        <v>39</v>
      </c>
      <c r="K993">
        <v>2023</v>
      </c>
      <c r="L993" t="s">
        <v>48</v>
      </c>
      <c r="M993" t="s">
        <v>25</v>
      </c>
      <c r="N993">
        <v>1</v>
      </c>
    </row>
    <row r="994" spans="1:14" x14ac:dyDescent="0.25">
      <c r="A994">
        <v>993</v>
      </c>
      <c r="B994" s="1" t="s">
        <v>20</v>
      </c>
      <c r="C994">
        <v>29</v>
      </c>
      <c r="D994" s="1" t="s">
        <v>45</v>
      </c>
      <c r="E994" s="1" t="s">
        <v>15</v>
      </c>
      <c r="F994" s="1" t="s">
        <v>16</v>
      </c>
      <c r="G994" s="2">
        <v>45175</v>
      </c>
      <c r="H994">
        <v>12</v>
      </c>
      <c r="I994">
        <v>14755</v>
      </c>
      <c r="J994" s="1" t="s">
        <v>24</v>
      </c>
      <c r="K994">
        <v>2023</v>
      </c>
      <c r="L994" t="s">
        <v>44</v>
      </c>
      <c r="M994" t="s">
        <v>29</v>
      </c>
      <c r="N994">
        <v>9</v>
      </c>
    </row>
    <row r="995" spans="1:14" x14ac:dyDescent="0.25">
      <c r="A995">
        <v>994</v>
      </c>
      <c r="B995" s="1" t="s">
        <v>20</v>
      </c>
      <c r="C995">
        <v>29</v>
      </c>
      <c r="D995" s="1" t="s">
        <v>21</v>
      </c>
      <c r="E995" s="1" t="s">
        <v>22</v>
      </c>
      <c r="F995" s="1" t="s">
        <v>23</v>
      </c>
      <c r="G995" s="2">
        <v>45142</v>
      </c>
      <c r="H995">
        <v>10</v>
      </c>
      <c r="I995">
        <v>9235</v>
      </c>
      <c r="J995" s="1" t="s">
        <v>39</v>
      </c>
      <c r="K995">
        <v>2023</v>
      </c>
      <c r="L995" t="s">
        <v>47</v>
      </c>
      <c r="M995" t="s">
        <v>29</v>
      </c>
      <c r="N995">
        <v>8</v>
      </c>
    </row>
    <row r="996" spans="1:14" x14ac:dyDescent="0.25">
      <c r="A996">
        <v>995</v>
      </c>
      <c r="B996" s="1" t="s">
        <v>20</v>
      </c>
      <c r="C996">
        <v>75</v>
      </c>
      <c r="D996" s="1" t="s">
        <v>34</v>
      </c>
      <c r="E996" s="1" t="s">
        <v>15</v>
      </c>
      <c r="F996" s="1" t="s">
        <v>32</v>
      </c>
      <c r="G996" s="2">
        <v>45068</v>
      </c>
      <c r="H996">
        <v>2</v>
      </c>
      <c r="I996">
        <v>19197</v>
      </c>
      <c r="J996" s="1" t="s">
        <v>24</v>
      </c>
      <c r="K996">
        <v>2023</v>
      </c>
      <c r="L996" t="s">
        <v>42</v>
      </c>
      <c r="M996" t="s">
        <v>19</v>
      </c>
      <c r="N996">
        <v>5</v>
      </c>
    </row>
    <row r="997" spans="1:14" x14ac:dyDescent="0.25">
      <c r="A997">
        <v>996</v>
      </c>
      <c r="B997" s="1" t="s">
        <v>13</v>
      </c>
      <c r="C997">
        <v>32</v>
      </c>
      <c r="D997" s="1" t="s">
        <v>37</v>
      </c>
      <c r="E997" s="1" t="s">
        <v>31</v>
      </c>
      <c r="F997" s="1" t="s">
        <v>23</v>
      </c>
      <c r="G997" s="2">
        <v>45064</v>
      </c>
      <c r="H997">
        <v>7</v>
      </c>
      <c r="I997">
        <v>23473</v>
      </c>
      <c r="J997" s="1" t="s">
        <v>17</v>
      </c>
      <c r="K997">
        <v>2023</v>
      </c>
      <c r="L997" t="s">
        <v>42</v>
      </c>
      <c r="M997" t="s">
        <v>29</v>
      </c>
      <c r="N997">
        <v>5</v>
      </c>
    </row>
    <row r="998" spans="1:14" x14ac:dyDescent="0.25">
      <c r="A998">
        <v>997</v>
      </c>
      <c r="B998" s="1" t="s">
        <v>13</v>
      </c>
      <c r="C998">
        <v>2</v>
      </c>
      <c r="D998" s="1" t="s">
        <v>14</v>
      </c>
      <c r="E998" s="1" t="s">
        <v>27</v>
      </c>
      <c r="F998" s="1" t="s">
        <v>28</v>
      </c>
      <c r="G998" s="2">
        <v>44934</v>
      </c>
      <c r="H998">
        <v>2</v>
      </c>
      <c r="I998">
        <v>4031</v>
      </c>
      <c r="J998" s="1" t="s">
        <v>39</v>
      </c>
      <c r="K998">
        <v>2023</v>
      </c>
      <c r="L998" t="s">
        <v>48</v>
      </c>
      <c r="M998" t="s">
        <v>25</v>
      </c>
      <c r="N998">
        <v>1</v>
      </c>
    </row>
    <row r="999" spans="1:14" x14ac:dyDescent="0.25">
      <c r="A999">
        <v>998</v>
      </c>
      <c r="B999" s="1" t="s">
        <v>20</v>
      </c>
      <c r="C999">
        <v>47</v>
      </c>
      <c r="D999" s="1" t="s">
        <v>21</v>
      </c>
      <c r="E999" s="1" t="s">
        <v>27</v>
      </c>
      <c r="F999" s="1" t="s">
        <v>16</v>
      </c>
      <c r="G999" s="2">
        <v>45241</v>
      </c>
      <c r="H999">
        <v>4</v>
      </c>
      <c r="I999">
        <v>43282</v>
      </c>
      <c r="J999" s="1" t="s">
        <v>24</v>
      </c>
      <c r="K999">
        <v>2023</v>
      </c>
      <c r="L999" t="s">
        <v>18</v>
      </c>
      <c r="M999" t="s">
        <v>38</v>
      </c>
      <c r="N999">
        <v>11</v>
      </c>
    </row>
    <row r="1000" spans="1:14" x14ac:dyDescent="0.25">
      <c r="A1000">
        <v>999</v>
      </c>
      <c r="B1000" s="1" t="s">
        <v>20</v>
      </c>
      <c r="C1000">
        <v>78</v>
      </c>
      <c r="D1000" s="1" t="s">
        <v>37</v>
      </c>
      <c r="E1000" s="1" t="s">
        <v>27</v>
      </c>
      <c r="F1000" s="1" t="s">
        <v>28</v>
      </c>
      <c r="G1000" s="2">
        <v>45025</v>
      </c>
      <c r="H1000">
        <v>12</v>
      </c>
      <c r="I1000">
        <v>43863</v>
      </c>
      <c r="J1000" s="1" t="s">
        <v>39</v>
      </c>
      <c r="K1000">
        <v>2023</v>
      </c>
      <c r="L1000" t="s">
        <v>33</v>
      </c>
      <c r="M1000" t="s">
        <v>19</v>
      </c>
      <c r="N1000">
        <v>4</v>
      </c>
    </row>
    <row r="1001" spans="1:14" x14ac:dyDescent="0.25">
      <c r="A1001">
        <v>1000</v>
      </c>
      <c r="B1001" s="1" t="s">
        <v>13</v>
      </c>
      <c r="C1001">
        <v>84</v>
      </c>
      <c r="D1001" s="1" t="s">
        <v>37</v>
      </c>
      <c r="E1001" s="1" t="s">
        <v>35</v>
      </c>
      <c r="F1001" s="1" t="s">
        <v>32</v>
      </c>
      <c r="G1001" s="2">
        <v>45215</v>
      </c>
      <c r="H1001">
        <v>7</v>
      </c>
      <c r="I1001">
        <v>16287</v>
      </c>
      <c r="J1001" s="1" t="s">
        <v>24</v>
      </c>
      <c r="K1001">
        <v>2023</v>
      </c>
      <c r="L1001" t="s">
        <v>41</v>
      </c>
      <c r="M1001" t="s">
        <v>19</v>
      </c>
      <c r="N1001">
        <v>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C8E84-96E1-4727-9BA9-23EE0BE09E55}">
  <dimension ref="A3:M105"/>
  <sheetViews>
    <sheetView topLeftCell="A78" workbookViewId="0">
      <selection activeCell="G91" sqref="G91"/>
    </sheetView>
  </sheetViews>
  <sheetFormatPr defaultRowHeight="15" x14ac:dyDescent="0.25"/>
  <cols>
    <col min="1" max="1" width="18.5703125" bestFit="1" customWidth="1"/>
    <col min="2" max="2" width="16.28515625" bestFit="1" customWidth="1"/>
    <col min="3" max="3" width="10.42578125" bestFit="1" customWidth="1"/>
    <col min="4" max="4" width="16.42578125" bestFit="1" customWidth="1"/>
    <col min="5" max="5" width="11.28515625" bestFit="1" customWidth="1"/>
    <col min="12" max="12" width="13.140625" bestFit="1" customWidth="1"/>
    <col min="13" max="13" width="18.5703125" bestFit="1" customWidth="1"/>
  </cols>
  <sheetData>
    <row r="3" spans="1:2" x14ac:dyDescent="0.25">
      <c r="A3" s="3" t="s">
        <v>49</v>
      </c>
      <c r="B3" t="s">
        <v>51</v>
      </c>
    </row>
    <row r="4" spans="1:2" x14ac:dyDescent="0.25">
      <c r="A4" s="4" t="s">
        <v>34</v>
      </c>
      <c r="B4" s="1">
        <v>183</v>
      </c>
    </row>
    <row r="5" spans="1:2" x14ac:dyDescent="0.25">
      <c r="A5" s="4" t="s">
        <v>37</v>
      </c>
      <c r="B5" s="1">
        <v>175</v>
      </c>
    </row>
    <row r="6" spans="1:2" x14ac:dyDescent="0.25">
      <c r="A6" s="4" t="s">
        <v>45</v>
      </c>
      <c r="B6" s="1">
        <v>172</v>
      </c>
    </row>
    <row r="7" spans="1:2" x14ac:dyDescent="0.25">
      <c r="A7" s="4" t="s">
        <v>14</v>
      </c>
      <c r="B7" s="1">
        <v>170</v>
      </c>
    </row>
    <row r="8" spans="1:2" x14ac:dyDescent="0.25">
      <c r="A8" s="4" t="s">
        <v>30</v>
      </c>
      <c r="B8" s="1">
        <v>162</v>
      </c>
    </row>
    <row r="9" spans="1:2" x14ac:dyDescent="0.25">
      <c r="A9" s="4" t="s">
        <v>21</v>
      </c>
      <c r="B9" s="1">
        <v>138</v>
      </c>
    </row>
    <row r="10" spans="1:2" x14ac:dyDescent="0.25">
      <c r="A10" s="4" t="s">
        <v>50</v>
      </c>
      <c r="B10" s="1">
        <v>1000</v>
      </c>
    </row>
    <row r="36" spans="1:3" x14ac:dyDescent="0.25">
      <c r="A36" s="3" t="s">
        <v>49</v>
      </c>
      <c r="B36" t="s">
        <v>51</v>
      </c>
      <c r="C36" t="s">
        <v>52</v>
      </c>
    </row>
    <row r="37" spans="1:3" x14ac:dyDescent="0.25">
      <c r="A37" s="4" t="s">
        <v>16</v>
      </c>
      <c r="B37" s="1">
        <v>260</v>
      </c>
      <c r="C37" s="1">
        <v>6645770</v>
      </c>
    </row>
    <row r="38" spans="1:3" x14ac:dyDescent="0.25">
      <c r="A38" s="4" t="s">
        <v>23</v>
      </c>
      <c r="B38" s="1">
        <v>248</v>
      </c>
      <c r="C38" s="1">
        <v>6254871</v>
      </c>
    </row>
    <row r="39" spans="1:3" x14ac:dyDescent="0.25">
      <c r="A39" s="4" t="s">
        <v>32</v>
      </c>
      <c r="B39" s="1">
        <v>246</v>
      </c>
      <c r="C39" s="1">
        <v>6502082</v>
      </c>
    </row>
    <row r="40" spans="1:3" x14ac:dyDescent="0.25">
      <c r="A40" s="4" t="s">
        <v>28</v>
      </c>
      <c r="B40" s="1">
        <v>246</v>
      </c>
      <c r="C40" s="1">
        <v>6760691</v>
      </c>
    </row>
    <row r="41" spans="1:3" x14ac:dyDescent="0.25">
      <c r="A41" s="4" t="s">
        <v>50</v>
      </c>
      <c r="B41" s="1">
        <v>1000</v>
      </c>
      <c r="C41" s="1">
        <v>26163414</v>
      </c>
    </row>
    <row r="50" spans="1:3" x14ac:dyDescent="0.25">
      <c r="A50" s="3" t="s">
        <v>49</v>
      </c>
      <c r="B50" t="s">
        <v>51</v>
      </c>
      <c r="C50" t="s">
        <v>53</v>
      </c>
    </row>
    <row r="51" spans="1:3" x14ac:dyDescent="0.25">
      <c r="A51" s="4" t="s">
        <v>31</v>
      </c>
      <c r="B51" s="1">
        <v>213</v>
      </c>
      <c r="C51" s="1">
        <v>7.112676056338028</v>
      </c>
    </row>
    <row r="52" spans="1:3" x14ac:dyDescent="0.25">
      <c r="A52" s="4" t="s">
        <v>15</v>
      </c>
      <c r="B52" s="1">
        <v>206</v>
      </c>
      <c r="C52" s="1">
        <v>7.7572815533980579</v>
      </c>
    </row>
    <row r="53" spans="1:3" x14ac:dyDescent="0.25">
      <c r="A53" s="4" t="s">
        <v>22</v>
      </c>
      <c r="B53" s="1">
        <v>206</v>
      </c>
      <c r="C53" s="1">
        <v>7.6699029126213594</v>
      </c>
    </row>
    <row r="54" spans="1:3" x14ac:dyDescent="0.25">
      <c r="A54" s="4" t="s">
        <v>27</v>
      </c>
      <c r="B54" s="1">
        <v>201</v>
      </c>
      <c r="C54" s="1">
        <v>8.08955223880597</v>
      </c>
    </row>
    <row r="55" spans="1:3" x14ac:dyDescent="0.25">
      <c r="A55" s="4" t="s">
        <v>35</v>
      </c>
      <c r="B55" s="1">
        <v>174</v>
      </c>
      <c r="C55" s="1">
        <v>7.6609195402298846</v>
      </c>
    </row>
    <row r="56" spans="1:3" x14ac:dyDescent="0.25">
      <c r="A56" s="4" t="s">
        <v>50</v>
      </c>
      <c r="B56" s="1">
        <v>1000</v>
      </c>
      <c r="C56" s="1">
        <v>7.6520000000000001</v>
      </c>
    </row>
    <row r="67" spans="1:13" x14ac:dyDescent="0.25">
      <c r="A67" s="3" t="s">
        <v>49</v>
      </c>
      <c r="B67" t="s">
        <v>51</v>
      </c>
      <c r="L67" s="3" t="s">
        <v>49</v>
      </c>
      <c r="M67" t="s">
        <v>51</v>
      </c>
    </row>
    <row r="68" spans="1:13" x14ac:dyDescent="0.25">
      <c r="A68" s="4">
        <v>1</v>
      </c>
      <c r="B68" s="1">
        <v>92</v>
      </c>
      <c r="L68" s="4" t="s">
        <v>48</v>
      </c>
      <c r="M68" s="1">
        <v>92</v>
      </c>
    </row>
    <row r="69" spans="1:13" x14ac:dyDescent="0.25">
      <c r="A69" s="4">
        <v>2</v>
      </c>
      <c r="B69" s="1">
        <v>81</v>
      </c>
      <c r="L69" s="4" t="s">
        <v>46</v>
      </c>
      <c r="M69" s="1">
        <v>81</v>
      </c>
    </row>
    <row r="70" spans="1:13" x14ac:dyDescent="0.25">
      <c r="A70" s="4">
        <v>3</v>
      </c>
      <c r="B70" s="1">
        <v>76</v>
      </c>
      <c r="L70" s="4" t="s">
        <v>43</v>
      </c>
      <c r="M70" s="1">
        <v>76</v>
      </c>
    </row>
    <row r="71" spans="1:13" x14ac:dyDescent="0.25">
      <c r="A71" s="4">
        <v>4</v>
      </c>
      <c r="B71" s="1">
        <v>80</v>
      </c>
      <c r="L71" s="4" t="s">
        <v>33</v>
      </c>
      <c r="M71" s="1">
        <v>80</v>
      </c>
    </row>
    <row r="72" spans="1:13" x14ac:dyDescent="0.25">
      <c r="A72" s="4">
        <v>5</v>
      </c>
      <c r="B72" s="1">
        <v>86</v>
      </c>
      <c r="L72" s="4" t="s">
        <v>42</v>
      </c>
      <c r="M72" s="1">
        <v>86</v>
      </c>
    </row>
    <row r="73" spans="1:13" x14ac:dyDescent="0.25">
      <c r="A73" s="4">
        <v>6</v>
      </c>
      <c r="B73" s="1">
        <v>93</v>
      </c>
      <c r="L73" s="4" t="s">
        <v>40</v>
      </c>
      <c r="M73" s="1">
        <v>93</v>
      </c>
    </row>
    <row r="74" spans="1:13" x14ac:dyDescent="0.25">
      <c r="A74" s="4">
        <v>7</v>
      </c>
      <c r="B74" s="1">
        <v>86</v>
      </c>
      <c r="L74" s="4" t="s">
        <v>36</v>
      </c>
      <c r="M74" s="1">
        <v>86</v>
      </c>
    </row>
    <row r="75" spans="1:13" x14ac:dyDescent="0.25">
      <c r="A75" s="4">
        <v>8</v>
      </c>
      <c r="B75" s="1">
        <v>75</v>
      </c>
      <c r="L75" s="4" t="s">
        <v>47</v>
      </c>
      <c r="M75" s="1">
        <v>75</v>
      </c>
    </row>
    <row r="76" spans="1:13" x14ac:dyDescent="0.25">
      <c r="A76" s="4">
        <v>9</v>
      </c>
      <c r="B76" s="1">
        <v>79</v>
      </c>
      <c r="L76" s="4" t="s">
        <v>44</v>
      </c>
      <c r="M76" s="1">
        <v>79</v>
      </c>
    </row>
    <row r="77" spans="1:13" x14ac:dyDescent="0.25">
      <c r="A77" s="4">
        <v>10</v>
      </c>
      <c r="B77" s="1">
        <v>84</v>
      </c>
      <c r="L77" s="4" t="s">
        <v>41</v>
      </c>
      <c r="M77" s="1">
        <v>84</v>
      </c>
    </row>
    <row r="78" spans="1:13" x14ac:dyDescent="0.25">
      <c r="A78" s="4">
        <v>11</v>
      </c>
      <c r="B78" s="1">
        <v>80</v>
      </c>
      <c r="L78" s="4" t="s">
        <v>18</v>
      </c>
      <c r="M78" s="1">
        <v>80</v>
      </c>
    </row>
    <row r="79" spans="1:13" x14ac:dyDescent="0.25">
      <c r="A79" s="4">
        <v>12</v>
      </c>
      <c r="B79" s="1">
        <v>88</v>
      </c>
      <c r="L79" s="4" t="s">
        <v>26</v>
      </c>
      <c r="M79" s="1">
        <v>88</v>
      </c>
    </row>
    <row r="80" spans="1:13" x14ac:dyDescent="0.25">
      <c r="A80" s="4" t="s">
        <v>50</v>
      </c>
      <c r="B80" s="1">
        <v>1000</v>
      </c>
      <c r="L80" s="4" t="s">
        <v>50</v>
      </c>
      <c r="M80" s="1">
        <v>1000</v>
      </c>
    </row>
    <row r="87" spans="1:2" x14ac:dyDescent="0.25">
      <c r="A87" s="3" t="s">
        <v>49</v>
      </c>
      <c r="B87" s="1" t="s">
        <v>51</v>
      </c>
    </row>
    <row r="88" spans="1:2" x14ac:dyDescent="0.25">
      <c r="A88" s="4" t="s">
        <v>20</v>
      </c>
      <c r="B88" s="1">
        <v>510</v>
      </c>
    </row>
    <row r="89" spans="1:2" x14ac:dyDescent="0.25">
      <c r="A89" s="4" t="s">
        <v>13</v>
      </c>
      <c r="B89" s="1">
        <v>490</v>
      </c>
    </row>
    <row r="90" spans="1:2" x14ac:dyDescent="0.25">
      <c r="A90" s="4" t="s">
        <v>50</v>
      </c>
      <c r="B90" s="1">
        <v>1000</v>
      </c>
    </row>
    <row r="99" spans="1:5" x14ac:dyDescent="0.25">
      <c r="A99" s="3" t="s">
        <v>51</v>
      </c>
      <c r="B99" s="3" t="s">
        <v>55</v>
      </c>
    </row>
    <row r="100" spans="1:5" x14ac:dyDescent="0.25">
      <c r="A100" s="3" t="s">
        <v>49</v>
      </c>
      <c r="B100" t="s">
        <v>17</v>
      </c>
      <c r="C100" t="s">
        <v>24</v>
      </c>
      <c r="D100" t="s">
        <v>39</v>
      </c>
      <c r="E100" t="s">
        <v>50</v>
      </c>
    </row>
    <row r="101" spans="1:5" x14ac:dyDescent="0.25">
      <c r="A101" s="4" t="s">
        <v>16</v>
      </c>
      <c r="B101" s="1">
        <v>20</v>
      </c>
      <c r="C101" s="1">
        <v>184</v>
      </c>
      <c r="D101" s="1">
        <v>56</v>
      </c>
      <c r="E101" s="1">
        <v>260</v>
      </c>
    </row>
    <row r="102" spans="1:5" x14ac:dyDescent="0.25">
      <c r="A102" s="4" t="s">
        <v>28</v>
      </c>
      <c r="B102" s="1">
        <v>16</v>
      </c>
      <c r="C102" s="1">
        <v>178</v>
      </c>
      <c r="D102" s="1">
        <v>52</v>
      </c>
      <c r="E102" s="1">
        <v>246</v>
      </c>
    </row>
    <row r="103" spans="1:5" x14ac:dyDescent="0.25">
      <c r="A103" s="4" t="s">
        <v>23</v>
      </c>
      <c r="B103" s="1">
        <v>17</v>
      </c>
      <c r="C103" s="1">
        <v>172</v>
      </c>
      <c r="D103" s="1">
        <v>59</v>
      </c>
      <c r="E103" s="1">
        <v>248</v>
      </c>
    </row>
    <row r="104" spans="1:5" x14ac:dyDescent="0.25">
      <c r="A104" s="4" t="s">
        <v>32</v>
      </c>
      <c r="B104" s="1">
        <v>26</v>
      </c>
      <c r="C104" s="1">
        <v>169</v>
      </c>
      <c r="D104" s="1">
        <v>51</v>
      </c>
      <c r="E104" s="1">
        <v>246</v>
      </c>
    </row>
    <row r="105" spans="1:5" x14ac:dyDescent="0.25">
      <c r="A105" s="4" t="s">
        <v>50</v>
      </c>
      <c r="B105" s="1">
        <v>79</v>
      </c>
      <c r="C105" s="1">
        <v>703</v>
      </c>
      <c r="D105" s="1">
        <v>218</v>
      </c>
      <c r="E105" s="1">
        <v>1000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F445D-8036-436C-80CA-B63501471E7A}">
  <dimension ref="B2:C4"/>
  <sheetViews>
    <sheetView showGridLines="0" tabSelected="1" zoomScale="65" zoomScaleNormal="37" workbookViewId="0">
      <selection activeCell="AM29" sqref="AM29"/>
    </sheetView>
  </sheetViews>
  <sheetFormatPr defaultRowHeight="15" x14ac:dyDescent="0.25"/>
  <sheetData>
    <row r="2" spans="2:3" x14ac:dyDescent="0.25">
      <c r="B2" s="5"/>
      <c r="C2" s="5"/>
    </row>
    <row r="3" spans="2:3" x14ac:dyDescent="0.25">
      <c r="B3" s="5"/>
      <c r="C3" s="5"/>
    </row>
    <row r="4" spans="2:3" x14ac:dyDescent="0.25">
      <c r="B4" s="5"/>
      <c r="C4" s="5"/>
    </row>
  </sheetData>
  <mergeCells count="1">
    <mergeCell ref="B2:C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90659-BBC9-4785-862D-2CEE6B416D21}">
  <dimension ref="B2:L3"/>
  <sheetViews>
    <sheetView workbookViewId="0">
      <selection activeCell="E2" sqref="E2:F3"/>
    </sheetView>
  </sheetViews>
  <sheetFormatPr defaultRowHeight="15" x14ac:dyDescent="0.25"/>
  <sheetData>
    <row r="2" spans="2:12" x14ac:dyDescent="0.25">
      <c r="B2" s="5" t="s">
        <v>56</v>
      </c>
      <c r="C2" s="5"/>
      <c r="E2" s="5" t="s">
        <v>57</v>
      </c>
      <c r="F2" s="5"/>
      <c r="H2" s="5" t="s">
        <v>59</v>
      </c>
      <c r="I2" s="5"/>
      <c r="K2" s="8" t="s">
        <v>58</v>
      </c>
      <c r="L2" s="8"/>
    </row>
    <row r="3" spans="2:12" x14ac:dyDescent="0.25">
      <c r="B3" s="5">
        <f>COUNTA(_xlfn.UNIQUE(HealthcareData[Patient_ID]))</f>
        <v>1000</v>
      </c>
      <c r="C3" s="5"/>
      <c r="E3" s="7">
        <f>SUM(HealthcareData[Treatment_Cost])</f>
        <v>26163414</v>
      </c>
      <c r="F3" s="7"/>
      <c r="H3" s="6">
        <f>ROUND(AVERAGEIF(HealthcareData[Stay_Days],"&gt;0"),1)</f>
        <v>7.7</v>
      </c>
      <c r="I3" s="6"/>
      <c r="K3" s="9">
        <f>COUNTIF(HealthcareData[Outcome],"Recovered")/COUNTA(HealthcareData[Patient_ID])</f>
        <v>0.70299999999999996</v>
      </c>
      <c r="L3" s="9"/>
    </row>
  </sheetData>
  <mergeCells count="8">
    <mergeCell ref="B2:C2"/>
    <mergeCell ref="B3:C3"/>
    <mergeCell ref="E2:F2"/>
    <mergeCell ref="E3:F3"/>
    <mergeCell ref="H2:I2"/>
    <mergeCell ref="K2:L2"/>
    <mergeCell ref="H3:I3"/>
    <mergeCell ref="K3:L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D514E3-FE56-4E52-AFF7-4639DB71BB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healthcare_dataset_raw</vt:lpstr>
      <vt:lpstr>healthcare_dataset</vt:lpstr>
      <vt:lpstr>pivot and slicers</vt:lpstr>
      <vt:lpstr>dashboard</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Venkatesh Guntuk</dc:creator>
  <cp:lastModifiedBy>Shilpa Tumma</cp:lastModifiedBy>
  <dcterms:created xsi:type="dcterms:W3CDTF">2026-04-08T16:33:36Z</dcterms:created>
  <dcterms:modified xsi:type="dcterms:W3CDTF">2026-04-10T05:57:36Z</dcterms:modified>
</cp:coreProperties>
</file>